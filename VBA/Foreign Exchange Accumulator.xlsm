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ilin Ye\Desktop\"/>
    </mc:Choice>
  </mc:AlternateContent>
  <xr:revisionPtr revIDLastSave="0" documentId="13_ncr:1_{9A6DEC5A-7AB9-47F8-BEF9-EE29CE050E2D}" xr6:coauthVersionLast="41" xr6:coauthVersionMax="41" xr10:uidLastSave="{00000000-0000-0000-0000-000000000000}"/>
  <bookViews>
    <workbookView xWindow="768" yWindow="0" windowWidth="13464" windowHeight="12360" activeTab="2" xr2:uid="{00000000-000D-0000-FFFF-FFFF00000000}"/>
  </bookViews>
  <sheets>
    <sheet name="Chart1" sheetId="6" r:id="rId1"/>
    <sheet name="Chart2" sheetId="7" r:id="rId2"/>
    <sheet name="Sheet1" sheetId="4" r:id="rId3"/>
    <sheet name="Data" sheetId="5" r:id="rId4"/>
    <sheet name="ListItem" sheetId="3" r:id="rId5"/>
  </sheets>
  <functionGroups builtInGroupCount="19"/>
  <calcPr calcId="191029"/>
</workbook>
</file>

<file path=xl/calcChain.xml><?xml version="1.0" encoding="utf-8"?>
<calcChain xmlns="http://schemas.openxmlformats.org/spreadsheetml/2006/main">
  <c r="O7" i="4" l="1"/>
  <c r="K7" i="4"/>
  <c r="K5" i="4" l="1"/>
  <c r="E2" i="4" l="1"/>
  <c r="O5" i="4"/>
  <c r="B6" i="4"/>
  <c r="F2" i="4"/>
  <c r="A2" i="3"/>
  <c r="G7" i="4"/>
  <c r="G4" i="4"/>
  <c r="G12" i="4"/>
  <c r="G8" i="4"/>
  <c r="G24" i="4"/>
  <c r="G17" i="4"/>
  <c r="G21" i="4"/>
  <c r="G19" i="4"/>
  <c r="G20" i="4"/>
  <c r="G9" i="4"/>
  <c r="G13" i="4"/>
  <c r="G6" i="4"/>
  <c r="G15" i="4"/>
  <c r="G25" i="4"/>
  <c r="G5" i="4"/>
  <c r="G16" i="4"/>
  <c r="G18" i="4"/>
  <c r="G3" i="4"/>
  <c r="G2" i="4"/>
  <c r="G23" i="4"/>
  <c r="G14" i="4"/>
  <c r="G11" i="4"/>
  <c r="G22" i="4"/>
  <c r="G10" i="4"/>
  <c r="H2" i="4" l="1"/>
  <c r="H3" i="4" s="1"/>
  <c r="H4" i="4" s="1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K6" i="4" s="1"/>
  <c r="K4" i="4" s="1"/>
  <c r="B7" i="4" l="1"/>
  <c r="B5" i="4" s="1"/>
  <c r="O6" i="4"/>
  <c r="O4" i="4" s="1"/>
</calcChain>
</file>

<file path=xl/sharedStrings.xml><?xml version="1.0" encoding="utf-8"?>
<sst xmlns="http://schemas.openxmlformats.org/spreadsheetml/2006/main" count="47" uniqueCount="27">
  <si>
    <t>Year</t>
  </si>
  <si>
    <t>Holiday (mm/dd/yyyy)</t>
    <phoneticPr fontId="2" type="noConversion"/>
  </si>
  <si>
    <t>Period</t>
  </si>
  <si>
    <t>Trading days</t>
  </si>
  <si>
    <t>Cumulative trading days</t>
  </si>
  <si>
    <t>Start date</t>
  </si>
  <si>
    <t>End date</t>
  </si>
  <si>
    <t>Barrier Price (B)</t>
  </si>
  <si>
    <t>Number of sample paths (n)</t>
  </si>
  <si>
    <t>Initial FX rate (S0)</t>
  </si>
  <si>
    <t>Volatility of FX rate (sigma)</t>
  </si>
  <si>
    <t>Number of steps (m)</t>
  </si>
  <si>
    <t>Domestic risk free rate (rf)</t>
  </si>
  <si>
    <t>Foreign risk free rate (q)</t>
  </si>
  <si>
    <t>Time to maturity (T)</t>
  </si>
  <si>
    <t xml:space="preserve">Simulated price </t>
  </si>
  <si>
    <t xml:space="preserve">Time step (dt) </t>
  </si>
  <si>
    <t>Strike price (K)</t>
  </si>
  <si>
    <t>Trigger Price (TG)</t>
  </si>
  <si>
    <t>Date</t>
    <phoneticPr fontId="2" type="noConversion"/>
  </si>
  <si>
    <t>AUD-USD</t>
    <phoneticPr fontId="2" type="noConversion"/>
  </si>
  <si>
    <t>Closing price</t>
    <phoneticPr fontId="2" type="noConversion"/>
  </si>
  <si>
    <t>Domestic risk free rate (rd)</t>
    <phoneticPr fontId="0" type="noConversion"/>
  </si>
  <si>
    <t>Foreign risk free rate (rf)</t>
    <phoneticPr fontId="0" type="noConversion"/>
  </si>
  <si>
    <t>FX</t>
    <phoneticPr fontId="0" type="noConversion"/>
  </si>
  <si>
    <t>Price</t>
    <phoneticPr fontId="0" type="noConversion"/>
  </si>
  <si>
    <t>Sigma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</si>
</sst>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dd/mm/yyyy"/>
    <numFmt numFmtId="166" formatCode="0.0000"/>
  </numFmts>
  <fonts count="8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Arial"/>
      <family val="2"/>
    </font>
    <font>
      <sz val="12"/>
      <name val="Arial"/>
      <family val="2"/>
    </font>
    <font>
      <b/>
      <sz val="12"/>
      <color indexed="8"/>
      <name val="新細明體"/>
      <family val="1"/>
      <charset val="136"/>
    </font>
    <font>
      <b/>
      <sz val="12"/>
      <color indexed="8"/>
      <name val="Arial"/>
      <family val="2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>
      <alignment vertical="center"/>
    </xf>
    <xf numFmtId="164" fontId="3" fillId="0" borderId="0" xfId="0" applyNumberFormat="1" applyFont="1">
      <alignment vertical="center"/>
    </xf>
    <xf numFmtId="0" fontId="4" fillId="0" borderId="0" xfId="0" applyFont="1">
      <alignment vertical="center"/>
    </xf>
    <xf numFmtId="1" fontId="4" fillId="0" borderId="0" xfId="0" applyNumberFormat="1" applyFont="1" applyAlignment="1"/>
    <xf numFmtId="10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165" fontId="3" fillId="0" borderId="0" xfId="0" applyNumberFormat="1" applyFont="1">
      <alignment vertical="center"/>
    </xf>
    <xf numFmtId="14" fontId="0" fillId="0" borderId="0" xfId="0" applyNumberFormat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14" fontId="1" fillId="0" borderId="0" xfId="0" applyNumberFormat="1" applyFont="1">
      <alignment vertical="center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164" fontId="6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166" fontId="3" fillId="0" borderId="0" xfId="0" applyNumberFormat="1" applyFo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24508790072389"/>
          <c:y val="7.4576271186440682E-2"/>
          <c:w val="0.65563598759048602"/>
          <c:h val="0.8372881355932203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Sheet1!$L$2:$L$81</c:f>
              <c:numCache>
                <c:formatCode>0.00</c:formatCode>
                <c:ptCount val="80"/>
                <c:pt idx="0">
                  <c:v>0.2</c:v>
                </c:pt>
                <c:pt idx="1">
                  <c:v>0.21</c:v>
                </c:pt>
                <c:pt idx="2">
                  <c:v>0.22</c:v>
                </c:pt>
                <c:pt idx="3">
                  <c:v>0.23</c:v>
                </c:pt>
                <c:pt idx="4">
                  <c:v>0.24</c:v>
                </c:pt>
                <c:pt idx="5">
                  <c:v>0.25</c:v>
                </c:pt>
                <c:pt idx="6">
                  <c:v>0.26</c:v>
                </c:pt>
                <c:pt idx="7">
                  <c:v>0.27</c:v>
                </c:pt>
                <c:pt idx="8">
                  <c:v>0.28000000000000003</c:v>
                </c:pt>
                <c:pt idx="9">
                  <c:v>0.28999999999999998</c:v>
                </c:pt>
                <c:pt idx="10">
                  <c:v>0.3</c:v>
                </c:pt>
                <c:pt idx="11">
                  <c:v>0.31</c:v>
                </c:pt>
                <c:pt idx="12">
                  <c:v>0.32</c:v>
                </c:pt>
                <c:pt idx="13">
                  <c:v>0.33</c:v>
                </c:pt>
                <c:pt idx="14">
                  <c:v>0.34</c:v>
                </c:pt>
                <c:pt idx="15">
                  <c:v>0.35</c:v>
                </c:pt>
                <c:pt idx="16">
                  <c:v>0.36</c:v>
                </c:pt>
                <c:pt idx="17">
                  <c:v>0.37</c:v>
                </c:pt>
                <c:pt idx="18">
                  <c:v>0.38</c:v>
                </c:pt>
                <c:pt idx="19">
                  <c:v>0.39</c:v>
                </c:pt>
                <c:pt idx="20">
                  <c:v>0.4</c:v>
                </c:pt>
                <c:pt idx="21">
                  <c:v>0.41</c:v>
                </c:pt>
                <c:pt idx="22">
                  <c:v>0.42</c:v>
                </c:pt>
                <c:pt idx="23">
                  <c:v>0.43</c:v>
                </c:pt>
                <c:pt idx="24">
                  <c:v>0.44</c:v>
                </c:pt>
                <c:pt idx="25">
                  <c:v>0.45</c:v>
                </c:pt>
                <c:pt idx="26">
                  <c:v>0.46</c:v>
                </c:pt>
                <c:pt idx="27">
                  <c:v>0.46999999999999897</c:v>
                </c:pt>
                <c:pt idx="28">
                  <c:v>0.47999999999999898</c:v>
                </c:pt>
                <c:pt idx="29">
                  <c:v>0.48999999999999899</c:v>
                </c:pt>
                <c:pt idx="30">
                  <c:v>0.499999999999999</c:v>
                </c:pt>
                <c:pt idx="31">
                  <c:v>0.50999999999999901</c:v>
                </c:pt>
                <c:pt idx="32">
                  <c:v>0.51999999999999902</c:v>
                </c:pt>
                <c:pt idx="33">
                  <c:v>0.52999999999999903</c:v>
                </c:pt>
                <c:pt idx="34">
                  <c:v>0.53999999999999904</c:v>
                </c:pt>
                <c:pt idx="35">
                  <c:v>0.54999999999999905</c:v>
                </c:pt>
                <c:pt idx="36">
                  <c:v>0.55999999999999905</c:v>
                </c:pt>
                <c:pt idx="37">
                  <c:v>0.56999999999999895</c:v>
                </c:pt>
                <c:pt idx="38">
                  <c:v>0.57999999999999896</c:v>
                </c:pt>
                <c:pt idx="39">
                  <c:v>0.58999999999999897</c:v>
                </c:pt>
                <c:pt idx="40">
                  <c:v>0.59999999999999898</c:v>
                </c:pt>
                <c:pt idx="41">
                  <c:v>0.60999999999999899</c:v>
                </c:pt>
                <c:pt idx="42">
                  <c:v>0.619999999999999</c:v>
                </c:pt>
                <c:pt idx="43">
                  <c:v>0.62999999999999901</c:v>
                </c:pt>
                <c:pt idx="44">
                  <c:v>0.63999999999999901</c:v>
                </c:pt>
                <c:pt idx="45">
                  <c:v>0.64999999999999902</c:v>
                </c:pt>
                <c:pt idx="46">
                  <c:v>0.65999999999999903</c:v>
                </c:pt>
                <c:pt idx="47">
                  <c:v>0.66999999999999904</c:v>
                </c:pt>
                <c:pt idx="48">
                  <c:v>0.67999999999999905</c:v>
                </c:pt>
                <c:pt idx="49">
                  <c:v>0.68999999999999895</c:v>
                </c:pt>
                <c:pt idx="50">
                  <c:v>0.69999999999999896</c:v>
                </c:pt>
                <c:pt idx="51">
                  <c:v>0.70999999999999897</c:v>
                </c:pt>
                <c:pt idx="52">
                  <c:v>0.71999999999999897</c:v>
                </c:pt>
                <c:pt idx="53">
                  <c:v>0.72999999999999898</c:v>
                </c:pt>
                <c:pt idx="54">
                  <c:v>0.73999999999999899</c:v>
                </c:pt>
                <c:pt idx="55">
                  <c:v>0.749999999999999</c:v>
                </c:pt>
                <c:pt idx="56">
                  <c:v>0.75999999999999901</c:v>
                </c:pt>
                <c:pt idx="57">
                  <c:v>0.76999999999999902</c:v>
                </c:pt>
                <c:pt idx="58">
                  <c:v>0.77999999999999903</c:v>
                </c:pt>
                <c:pt idx="59">
                  <c:v>0.78999999999999904</c:v>
                </c:pt>
                <c:pt idx="60">
                  <c:v>0.79999999999999905</c:v>
                </c:pt>
                <c:pt idx="61">
                  <c:v>0.80999999999999905</c:v>
                </c:pt>
                <c:pt idx="62">
                  <c:v>0.81999999999999895</c:v>
                </c:pt>
                <c:pt idx="63">
                  <c:v>0.82999999999999896</c:v>
                </c:pt>
                <c:pt idx="64">
                  <c:v>0.83999999999999897</c:v>
                </c:pt>
                <c:pt idx="65">
                  <c:v>0.84999999999999898</c:v>
                </c:pt>
                <c:pt idx="66">
                  <c:v>0.85999999999999899</c:v>
                </c:pt>
                <c:pt idx="67">
                  <c:v>0.869999999999999</c:v>
                </c:pt>
                <c:pt idx="68">
                  <c:v>0.87999999999999901</c:v>
                </c:pt>
                <c:pt idx="69">
                  <c:v>0.88999999999999901</c:v>
                </c:pt>
                <c:pt idx="70">
                  <c:v>0.89999999999999902</c:v>
                </c:pt>
                <c:pt idx="71">
                  <c:v>0.90999999999999903</c:v>
                </c:pt>
                <c:pt idx="72">
                  <c:v>0.91999999999999904</c:v>
                </c:pt>
                <c:pt idx="73">
                  <c:v>0.92999999999999905</c:v>
                </c:pt>
                <c:pt idx="74">
                  <c:v>0.93999999999999895</c:v>
                </c:pt>
                <c:pt idx="75">
                  <c:v>0.94999999999999896</c:v>
                </c:pt>
                <c:pt idx="76">
                  <c:v>0.95999999999999897</c:v>
                </c:pt>
                <c:pt idx="77">
                  <c:v>0.96999999999999897</c:v>
                </c:pt>
                <c:pt idx="78">
                  <c:v>0.97999999999999798</c:v>
                </c:pt>
                <c:pt idx="79">
                  <c:v>0.98999999999999799</c:v>
                </c:pt>
              </c:numCache>
            </c:numRef>
          </c:cat>
          <c:val>
            <c:numRef>
              <c:f>Sheet1!$M$2:$M$81</c:f>
              <c:numCache>
                <c:formatCode>General</c:formatCode>
                <c:ptCount val="80"/>
                <c:pt idx="0">
                  <c:v>-272.86228534247431</c:v>
                </c:pt>
                <c:pt idx="1">
                  <c:v>-268.42987962305267</c:v>
                </c:pt>
                <c:pt idx="2">
                  <c:v>-263.85038640723201</c:v>
                </c:pt>
                <c:pt idx="3">
                  <c:v>-258.79438793933571</c:v>
                </c:pt>
                <c:pt idx="4">
                  <c:v>-254.82610736558041</c:v>
                </c:pt>
                <c:pt idx="5">
                  <c:v>-250.82739810224345</c:v>
                </c:pt>
                <c:pt idx="6">
                  <c:v>-246.17721462587608</c:v>
                </c:pt>
                <c:pt idx="7">
                  <c:v>-241.82808346998013</c:v>
                </c:pt>
                <c:pt idx="8">
                  <c:v>-238.18870417884693</c:v>
                </c:pt>
                <c:pt idx="9">
                  <c:v>-234.02535055693932</c:v>
                </c:pt>
                <c:pt idx="10">
                  <c:v>-229.30617904140442</c:v>
                </c:pt>
                <c:pt idx="11">
                  <c:v>-225.43917190607323</c:v>
                </c:pt>
                <c:pt idx="12">
                  <c:v>-220.53515077944726</c:v>
                </c:pt>
                <c:pt idx="13">
                  <c:v>-216.8321858428792</c:v>
                </c:pt>
                <c:pt idx="14">
                  <c:v>-212.7238496805081</c:v>
                </c:pt>
                <c:pt idx="15">
                  <c:v>-208.55457470625208</c:v>
                </c:pt>
                <c:pt idx="16">
                  <c:v>-205.06929862187886</c:v>
                </c:pt>
                <c:pt idx="17">
                  <c:v>-200.01925763964454</c:v>
                </c:pt>
                <c:pt idx="18">
                  <c:v>-196.62143842105573</c:v>
                </c:pt>
                <c:pt idx="19">
                  <c:v>-192.59921748894644</c:v>
                </c:pt>
                <c:pt idx="20">
                  <c:v>-188.37435251849513</c:v>
                </c:pt>
                <c:pt idx="21">
                  <c:v>-184.00300562511205</c:v>
                </c:pt>
                <c:pt idx="22">
                  <c:v>-180.81159651385747</c:v>
                </c:pt>
                <c:pt idx="23">
                  <c:v>-176.92378447773845</c:v>
                </c:pt>
                <c:pt idx="24">
                  <c:v>-172.51038397474611</c:v>
                </c:pt>
                <c:pt idx="25">
                  <c:v>-169.57409607249997</c:v>
                </c:pt>
                <c:pt idx="26">
                  <c:v>-165.45859855829326</c:v>
                </c:pt>
                <c:pt idx="27">
                  <c:v>-160.88185395999307</c:v>
                </c:pt>
                <c:pt idx="28">
                  <c:v>-157.99228012357509</c:v>
                </c:pt>
                <c:pt idx="29">
                  <c:v>-153.41092092870556</c:v>
                </c:pt>
                <c:pt idx="30">
                  <c:v>-150.10045610991679</c:v>
                </c:pt>
                <c:pt idx="31">
                  <c:v>-147.46672549029009</c:v>
                </c:pt>
                <c:pt idx="32">
                  <c:v>-143.1927205696955</c:v>
                </c:pt>
                <c:pt idx="33">
                  <c:v>-139.46281742329353</c:v>
                </c:pt>
                <c:pt idx="34">
                  <c:v>-136.822664266582</c:v>
                </c:pt>
                <c:pt idx="35">
                  <c:v>-131.81951424859972</c:v>
                </c:pt>
                <c:pt idx="36">
                  <c:v>-128.88051963009002</c:v>
                </c:pt>
                <c:pt idx="37">
                  <c:v>-126.40516263363823</c:v>
                </c:pt>
                <c:pt idx="38">
                  <c:v>-121.84450409999137</c:v>
                </c:pt>
                <c:pt idx="39">
                  <c:v>-118.69302244230866</c:v>
                </c:pt>
                <c:pt idx="40">
                  <c:v>-115.63715245612045</c:v>
                </c:pt>
                <c:pt idx="41">
                  <c:v>-111.31738555982909</c:v>
                </c:pt>
                <c:pt idx="42">
                  <c:v>-109.59387122695919</c:v>
                </c:pt>
                <c:pt idx="43">
                  <c:v>-106.80380974708021</c:v>
                </c:pt>
                <c:pt idx="44">
                  <c:v>-102.18776697388783</c:v>
                </c:pt>
                <c:pt idx="45">
                  <c:v>-100.28459500149445</c:v>
                </c:pt>
                <c:pt idx="46">
                  <c:v>-96.442376563786937</c:v>
                </c:pt>
                <c:pt idx="47">
                  <c:v>-94.221964121202944</c:v>
                </c:pt>
                <c:pt idx="48">
                  <c:v>-90.554708545183388</c:v>
                </c:pt>
                <c:pt idx="49">
                  <c:v>-86.375021500485417</c:v>
                </c:pt>
                <c:pt idx="50">
                  <c:v>-84.76093897185207</c:v>
                </c:pt>
                <c:pt idx="51">
                  <c:v>-81.382135843708127</c:v>
                </c:pt>
                <c:pt idx="52">
                  <c:v>-76.880335052939472</c:v>
                </c:pt>
                <c:pt idx="53">
                  <c:v>-76.254950569087242</c:v>
                </c:pt>
                <c:pt idx="54">
                  <c:v>-72.948029071011433</c:v>
                </c:pt>
                <c:pt idx="55">
                  <c:v>-69.616531653946367</c:v>
                </c:pt>
                <c:pt idx="56">
                  <c:v>-67.613594796977509</c:v>
                </c:pt>
                <c:pt idx="57">
                  <c:v>-63.978992218209754</c:v>
                </c:pt>
                <c:pt idx="58">
                  <c:v>-61.25276133921583</c:v>
                </c:pt>
                <c:pt idx="59">
                  <c:v>-59.717993502826523</c:v>
                </c:pt>
                <c:pt idx="60">
                  <c:v>-55.694558879423987</c:v>
                </c:pt>
                <c:pt idx="61">
                  <c:v>-53.255333616793123</c:v>
                </c:pt>
                <c:pt idx="62">
                  <c:v>-52.054503815823026</c:v>
                </c:pt>
                <c:pt idx="63">
                  <c:v>-47.201551698712606</c:v>
                </c:pt>
                <c:pt idx="64">
                  <c:v>-44.634890789791527</c:v>
                </c:pt>
                <c:pt idx="65">
                  <c:v>-43.06608272657818</c:v>
                </c:pt>
                <c:pt idx="66">
                  <c:v>-40.336774828536491</c:v>
                </c:pt>
                <c:pt idx="67">
                  <c:v>-36.281927364499374</c:v>
                </c:pt>
                <c:pt idx="68">
                  <c:v>-35.368395588130248</c:v>
                </c:pt>
                <c:pt idx="69">
                  <c:v>-32.701053505424198</c:v>
                </c:pt>
                <c:pt idx="70">
                  <c:v>-28.741901559369637</c:v>
                </c:pt>
                <c:pt idx="71">
                  <c:v>-26.613405797368809</c:v>
                </c:pt>
                <c:pt idx="72">
                  <c:v>-24.433291106500594</c:v>
                </c:pt>
                <c:pt idx="73">
                  <c:v>-22.140433138845033</c:v>
                </c:pt>
                <c:pt idx="74">
                  <c:v>-18.815279667761246</c:v>
                </c:pt>
                <c:pt idx="75">
                  <c:v>-17.082832677067103</c:v>
                </c:pt>
                <c:pt idx="76">
                  <c:v>-15.595140002323543</c:v>
                </c:pt>
                <c:pt idx="77">
                  <c:v>-12.403923372120497</c:v>
                </c:pt>
                <c:pt idx="78">
                  <c:v>-9.2767654760113789</c:v>
                </c:pt>
                <c:pt idx="79">
                  <c:v>-7.8267435546624782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1-4513-8905-E854B822A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48192"/>
        <c:axId val="138703616"/>
      </c:lineChart>
      <c:catAx>
        <c:axId val="13864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AUD-USD</a:t>
                </a:r>
              </a:p>
            </c:rich>
          </c:tx>
          <c:layout>
            <c:manualLayout>
              <c:xMode val="edge"/>
              <c:yMode val="edge"/>
              <c:x val="0.483971044467425"/>
              <c:y val="0.930508474576271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38703616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38703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Simulated Price</a:t>
                </a:r>
              </a:p>
            </c:rich>
          </c:tx>
          <c:layout>
            <c:manualLayout>
              <c:xMode val="edge"/>
              <c:yMode val="edge"/>
              <c:x val="0.12202688728024819"/>
              <c:y val="0.406779661016949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386481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62047569803515"/>
          <c:y val="5.9322033898305086E-2"/>
          <c:w val="0.66287487073422957"/>
          <c:h val="0.8576271186440678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Sheet1!$P$2:$P$81</c:f>
              <c:numCache>
                <c:formatCode>0.00</c:formatCode>
                <c:ptCount val="80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0.6900000000000005</c:v>
                </c:pt>
                <c:pt idx="60">
                  <c:v>0.70000000000000051</c:v>
                </c:pt>
                <c:pt idx="61">
                  <c:v>0.71000000000000052</c:v>
                </c:pt>
                <c:pt idx="62">
                  <c:v>0.72000000000000053</c:v>
                </c:pt>
                <c:pt idx="63">
                  <c:v>0.73000000000000054</c:v>
                </c:pt>
                <c:pt idx="64">
                  <c:v>0.74000000000000055</c:v>
                </c:pt>
                <c:pt idx="65">
                  <c:v>0.75000000000000056</c:v>
                </c:pt>
                <c:pt idx="66">
                  <c:v>0.76000000000000056</c:v>
                </c:pt>
                <c:pt idx="67">
                  <c:v>0.77000000000000057</c:v>
                </c:pt>
                <c:pt idx="68">
                  <c:v>0.78000000000000058</c:v>
                </c:pt>
                <c:pt idx="69">
                  <c:v>0.79000000000000059</c:v>
                </c:pt>
                <c:pt idx="70">
                  <c:v>0.8000000000000006</c:v>
                </c:pt>
                <c:pt idx="71">
                  <c:v>0.81000000000000061</c:v>
                </c:pt>
                <c:pt idx="72">
                  <c:v>0.82000000000000062</c:v>
                </c:pt>
                <c:pt idx="73">
                  <c:v>0.83000000000000063</c:v>
                </c:pt>
                <c:pt idx="74">
                  <c:v>0.84000000000000064</c:v>
                </c:pt>
                <c:pt idx="75">
                  <c:v>0.85000000000000064</c:v>
                </c:pt>
                <c:pt idx="76">
                  <c:v>0.86000000000000065</c:v>
                </c:pt>
                <c:pt idx="77">
                  <c:v>0.87000000000000066</c:v>
                </c:pt>
                <c:pt idx="78">
                  <c:v>0.88000000000000067</c:v>
                </c:pt>
                <c:pt idx="79">
                  <c:v>0.89000000000000068</c:v>
                </c:pt>
              </c:numCache>
            </c:numRef>
          </c:cat>
          <c:val>
            <c:numRef>
              <c:f>Sheet1!$Q$2:$Q$81</c:f>
              <c:numCache>
                <c:formatCode>General</c:formatCode>
                <c:ptCount val="80"/>
                <c:pt idx="0">
                  <c:v>0.90108245832279121</c:v>
                </c:pt>
                <c:pt idx="1">
                  <c:v>0.62941326832837585</c:v>
                </c:pt>
                <c:pt idx="2">
                  <c:v>0.41515625259447247</c:v>
                </c:pt>
                <c:pt idx="3">
                  <c:v>0.19524918104247149</c:v>
                </c:pt>
                <c:pt idx="4">
                  <c:v>-0.21511735004058594</c:v>
                </c:pt>
                <c:pt idx="5">
                  <c:v>-0.73965012636470517</c:v>
                </c:pt>
                <c:pt idx="6">
                  <c:v>-0.9387914707783237</c:v>
                </c:pt>
                <c:pt idx="7">
                  <c:v>-1.451104447029955</c:v>
                </c:pt>
                <c:pt idx="8">
                  <c:v>-1.977024990181794</c:v>
                </c:pt>
                <c:pt idx="9">
                  <c:v>-2.0636877948470485</c:v>
                </c:pt>
                <c:pt idx="10">
                  <c:v>-2.886405237839432</c:v>
                </c:pt>
                <c:pt idx="11">
                  <c:v>-3.2508359177135118</c:v>
                </c:pt>
                <c:pt idx="12">
                  <c:v>-3.2866464135707316</c:v>
                </c:pt>
                <c:pt idx="13">
                  <c:v>-3.8929146318743246</c:v>
                </c:pt>
                <c:pt idx="14">
                  <c:v>-4.3492013188565908</c:v>
                </c:pt>
                <c:pt idx="15">
                  <c:v>-4.8802476818570479</c:v>
                </c:pt>
                <c:pt idx="16">
                  <c:v>-5.3143620539471463</c:v>
                </c:pt>
                <c:pt idx="17">
                  <c:v>-5.5910250743936318</c:v>
                </c:pt>
                <c:pt idx="18">
                  <c:v>-6.1421241725078266</c:v>
                </c:pt>
                <c:pt idx="19">
                  <c:v>-6.7419892482849662</c:v>
                </c:pt>
                <c:pt idx="20">
                  <c:v>-6.5827964968310653</c:v>
                </c:pt>
                <c:pt idx="21">
                  <c:v>-7.5045592067359141</c:v>
                </c:pt>
                <c:pt idx="22">
                  <c:v>-7.5819117863233743</c:v>
                </c:pt>
                <c:pt idx="23">
                  <c:v>-7.9369227639365194</c:v>
                </c:pt>
                <c:pt idx="24">
                  <c:v>-8.3066100632585389</c:v>
                </c:pt>
                <c:pt idx="25">
                  <c:v>-8.6031841463755985</c:v>
                </c:pt>
                <c:pt idx="26">
                  <c:v>-9.0990271059763028</c:v>
                </c:pt>
                <c:pt idx="27">
                  <c:v>-8.9666049123612783</c:v>
                </c:pt>
                <c:pt idx="28">
                  <c:v>-9.2934155831835277</c:v>
                </c:pt>
                <c:pt idx="29">
                  <c:v>-10.149167635727801</c:v>
                </c:pt>
                <c:pt idx="30">
                  <c:v>-9.9949642659536018</c:v>
                </c:pt>
                <c:pt idx="31">
                  <c:v>-10.894195069474831</c:v>
                </c:pt>
                <c:pt idx="32">
                  <c:v>-10.454907701831598</c:v>
                </c:pt>
                <c:pt idx="33">
                  <c:v>-10.610847274555249</c:v>
                </c:pt>
                <c:pt idx="34">
                  <c:v>-11.345049338107122</c:v>
                </c:pt>
                <c:pt idx="35">
                  <c:v>-11.505433225175336</c:v>
                </c:pt>
                <c:pt idx="36">
                  <c:v>-11.98966870693814</c:v>
                </c:pt>
                <c:pt idx="37">
                  <c:v>-12.076971047282266</c:v>
                </c:pt>
                <c:pt idx="38">
                  <c:v>-12.137858297052098</c:v>
                </c:pt>
                <c:pt idx="39">
                  <c:v>-12.778695780448727</c:v>
                </c:pt>
                <c:pt idx="40">
                  <c:v>-13.35389482020557</c:v>
                </c:pt>
                <c:pt idx="41">
                  <c:v>-12.723491057562704</c:v>
                </c:pt>
                <c:pt idx="42">
                  <c:v>-13.071870830441982</c:v>
                </c:pt>
                <c:pt idx="43">
                  <c:v>-13.200452088047744</c:v>
                </c:pt>
                <c:pt idx="44">
                  <c:v>-13.110579053972256</c:v>
                </c:pt>
                <c:pt idx="45">
                  <c:v>-13.553370440875325</c:v>
                </c:pt>
                <c:pt idx="46">
                  <c:v>-13.969053411645588</c:v>
                </c:pt>
                <c:pt idx="47">
                  <c:v>-13.590277148328608</c:v>
                </c:pt>
                <c:pt idx="48">
                  <c:v>-13.739872978156612</c:v>
                </c:pt>
                <c:pt idx="49">
                  <c:v>-14.46815497296909</c:v>
                </c:pt>
                <c:pt idx="50">
                  <c:v>-13.986306868844304</c:v>
                </c:pt>
                <c:pt idx="51">
                  <c:v>-14.231482938844595</c:v>
                </c:pt>
                <c:pt idx="52">
                  <c:v>-15.141506193767281</c:v>
                </c:pt>
                <c:pt idx="53">
                  <c:v>-15.004625484582826</c:v>
                </c:pt>
                <c:pt idx="54">
                  <c:v>-14.757285898395367</c:v>
                </c:pt>
                <c:pt idx="55">
                  <c:v>-15.38999153063186</c:v>
                </c:pt>
                <c:pt idx="56">
                  <c:v>-15.91838558080728</c:v>
                </c:pt>
                <c:pt idx="57">
                  <c:v>-16.500452248105677</c:v>
                </c:pt>
                <c:pt idx="58">
                  <c:v>-16.1159754553079</c:v>
                </c:pt>
                <c:pt idx="59">
                  <c:v>-15.526460457792259</c:v>
                </c:pt>
                <c:pt idx="60">
                  <c:v>-15.665807504427846</c:v>
                </c:pt>
                <c:pt idx="61">
                  <c:v>-17.206062300689862</c:v>
                </c:pt>
                <c:pt idx="62">
                  <c:v>-17.085660632679492</c:v>
                </c:pt>
                <c:pt idx="63">
                  <c:v>-17.238671877445306</c:v>
                </c:pt>
                <c:pt idx="64">
                  <c:v>-17.410760807804945</c:v>
                </c:pt>
                <c:pt idx="65">
                  <c:v>-17.769261799407882</c:v>
                </c:pt>
                <c:pt idx="66">
                  <c:v>-18.45390293489794</c:v>
                </c:pt>
                <c:pt idx="67">
                  <c:v>-18.339991840435147</c:v>
                </c:pt>
                <c:pt idx="68">
                  <c:v>-18.989840147408607</c:v>
                </c:pt>
                <c:pt idx="69">
                  <c:v>-19.178253569781319</c:v>
                </c:pt>
                <c:pt idx="70">
                  <c:v>-18.816498404844268</c:v>
                </c:pt>
                <c:pt idx="71">
                  <c:v>-18.472959929603014</c:v>
                </c:pt>
                <c:pt idx="72">
                  <c:v>-18.516005820755709</c:v>
                </c:pt>
                <c:pt idx="73">
                  <c:v>-20.052696901082609</c:v>
                </c:pt>
                <c:pt idx="74">
                  <c:v>-19.724699115043645</c:v>
                </c:pt>
                <c:pt idx="75">
                  <c:v>-19.826013193629588</c:v>
                </c:pt>
                <c:pt idx="76">
                  <c:v>-19.975713526048558</c:v>
                </c:pt>
                <c:pt idx="77">
                  <c:v>-19.47723893961215</c:v>
                </c:pt>
                <c:pt idx="78">
                  <c:v>-20.437083695911994</c:v>
                </c:pt>
                <c:pt idx="79">
                  <c:v>-20.312907227458734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C-4F7D-A695-4E749ABB6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636800"/>
        <c:axId val="148638720"/>
      </c:lineChart>
      <c:catAx>
        <c:axId val="14863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4984488107549121"/>
              <c:y val="0.9355932203389830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4863872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8638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Simulated Price</a:t>
                </a:r>
              </a:p>
            </c:rich>
          </c:tx>
          <c:layout>
            <c:manualLayout>
              <c:xMode val="edge"/>
              <c:yMode val="edge"/>
              <c:x val="0.13236814891416754"/>
              <c:y val="0.39661016949152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486368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2"/>
  <sheetViews>
    <sheetView zoomScale="8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7788" cy="56119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97788" cy="56119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14</xdr:row>
          <xdr:rowOff>38100</xdr:rowOff>
        </xdr:from>
        <xdr:to>
          <xdr:col>1</xdr:col>
          <xdr:colOff>457200</xdr:colOff>
          <xdr:row>15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18</xdr:row>
          <xdr:rowOff>68580</xdr:rowOff>
        </xdr:from>
        <xdr:to>
          <xdr:col>1</xdr:col>
          <xdr:colOff>457200</xdr:colOff>
          <xdr:row>20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FX Sensitivity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807720</xdr:colOff>
          <xdr:row>22</xdr:row>
          <xdr:rowOff>60960</xdr:rowOff>
        </xdr:from>
        <xdr:to>
          <xdr:col>1</xdr:col>
          <xdr:colOff>464820</xdr:colOff>
          <xdr:row>24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Sigma Sensitivity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807720</xdr:colOff>
          <xdr:row>25</xdr:row>
          <xdr:rowOff>121920</xdr:rowOff>
        </xdr:from>
        <xdr:to>
          <xdr:col>1</xdr:col>
          <xdr:colOff>464820</xdr:colOff>
          <xdr:row>27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Both Sensitivity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Q93"/>
  <sheetViews>
    <sheetView tabSelected="1" zoomScale="85" workbookViewId="0">
      <selection activeCell="B14" sqref="B14"/>
    </sheetView>
  </sheetViews>
  <sheetFormatPr defaultColWidth="9" defaultRowHeight="15" x14ac:dyDescent="0.25"/>
  <cols>
    <col min="1" max="1" width="27.77734375" style="1" customWidth="1"/>
    <col min="2" max="2" width="14.33203125" style="1" customWidth="1"/>
    <col min="3" max="3" width="6.44140625" style="1" customWidth="1"/>
    <col min="4" max="4" width="9" style="1"/>
    <col min="5" max="6" width="12.6640625" style="2" bestFit="1" customWidth="1"/>
    <col min="7" max="7" width="12.33203125" style="1" customWidth="1"/>
    <col min="8" max="8" width="22.21875" style="1" customWidth="1"/>
    <col min="9" max="9" width="9" style="1"/>
    <col min="10" max="10" width="28.88671875" style="1" bestFit="1" customWidth="1"/>
    <col min="11" max="11" width="9" style="1"/>
    <col min="12" max="12" width="11" style="1" customWidth="1"/>
    <col min="13" max="13" width="9" style="1"/>
    <col min="14" max="14" width="28.88671875" style="1" bestFit="1" customWidth="1"/>
    <col min="15" max="15" width="9" style="1"/>
    <col min="16" max="16" width="11.77734375" style="1" customWidth="1"/>
    <col min="17" max="16384" width="9" style="1"/>
  </cols>
  <sheetData>
    <row r="1" spans="1:17" ht="15.6" x14ac:dyDescent="0.25">
      <c r="A1" s="1" t="s">
        <v>9</v>
      </c>
      <c r="B1" s="17">
        <v>0.96930000000000005</v>
      </c>
      <c r="D1" s="14" t="s">
        <v>2</v>
      </c>
      <c r="E1" s="15" t="s">
        <v>5</v>
      </c>
      <c r="F1" s="15" t="s">
        <v>6</v>
      </c>
      <c r="G1" s="14" t="s">
        <v>3</v>
      </c>
      <c r="H1" s="14" t="s">
        <v>4</v>
      </c>
      <c r="J1" s="14" t="s">
        <v>12</v>
      </c>
      <c r="K1" s="3">
        <v>4.6850000000000003E-2</v>
      </c>
      <c r="L1" s="14" t="s">
        <v>24</v>
      </c>
      <c r="M1" s="14" t="s">
        <v>25</v>
      </c>
      <c r="N1" s="14" t="s">
        <v>9</v>
      </c>
      <c r="O1" s="10">
        <v>0.96930000000000005</v>
      </c>
      <c r="P1" s="14" t="s">
        <v>26</v>
      </c>
      <c r="Q1" s="14" t="s">
        <v>25</v>
      </c>
    </row>
    <row r="2" spans="1:17" ht="15.6" x14ac:dyDescent="0.25">
      <c r="A2" s="1" t="s">
        <v>22</v>
      </c>
      <c r="B2" s="3">
        <v>4.6850000000000003E-2</v>
      </c>
      <c r="D2" s="1">
        <v>1</v>
      </c>
      <c r="E2" s="15">
        <f>DATE(2008,7,15)</f>
        <v>39644</v>
      </c>
      <c r="F2" s="2">
        <f>DATE(2008,10,31)</f>
        <v>39752</v>
      </c>
      <c r="G2" s="4">
        <f>netdays(E2,F2)</f>
        <v>75</v>
      </c>
      <c r="H2" s="4">
        <f>G2</f>
        <v>75</v>
      </c>
      <c r="J2" s="14" t="s">
        <v>13</v>
      </c>
      <c r="K2" s="3">
        <v>6.3657735514820096E-2</v>
      </c>
      <c r="L2" s="16">
        <v>0.2</v>
      </c>
      <c r="M2" s="1">
        <v>-272.86228534247431</v>
      </c>
      <c r="N2" s="14" t="s">
        <v>12</v>
      </c>
      <c r="O2" s="3">
        <v>4.6850000000000003E-2</v>
      </c>
      <c r="P2" s="16">
        <v>0.1</v>
      </c>
      <c r="Q2" s="1">
        <v>0.90108245832279121</v>
      </c>
    </row>
    <row r="3" spans="1:17" ht="15.6" x14ac:dyDescent="0.25">
      <c r="A3" s="1" t="s">
        <v>23</v>
      </c>
      <c r="B3" s="3">
        <v>6.3657735514820096E-2</v>
      </c>
      <c r="D3" s="1">
        <v>2</v>
      </c>
      <c r="E3" s="2">
        <v>39753</v>
      </c>
      <c r="F3" s="2">
        <v>39782</v>
      </c>
      <c r="G3" s="4">
        <f t="shared" ref="G3:G25" si="0">netdays(E3-1,F3)</f>
        <v>20</v>
      </c>
      <c r="H3" s="4">
        <f>G3+H2</f>
        <v>95</v>
      </c>
      <c r="J3" s="14" t="s">
        <v>10</v>
      </c>
      <c r="K3" s="5">
        <v>0.49890000000000001</v>
      </c>
      <c r="L3" s="16">
        <v>0.21</v>
      </c>
      <c r="M3" s="1">
        <v>-268.42987962305267</v>
      </c>
      <c r="N3" s="14" t="s">
        <v>13</v>
      </c>
      <c r="O3" s="3">
        <v>6.3657735514820096E-2</v>
      </c>
      <c r="P3" s="16">
        <v>0.11</v>
      </c>
      <c r="Q3" s="1">
        <v>0.62941326832837585</v>
      </c>
    </row>
    <row r="4" spans="1:17" ht="15.6" x14ac:dyDescent="0.25">
      <c r="A4" s="1" t="s">
        <v>10</v>
      </c>
      <c r="B4" s="5">
        <v>0.49890000000000001</v>
      </c>
      <c r="C4" s="5"/>
      <c r="D4" s="1">
        <v>3</v>
      </c>
      <c r="E4" s="2">
        <v>39783</v>
      </c>
      <c r="F4" s="2">
        <v>39813</v>
      </c>
      <c r="G4" s="4">
        <f t="shared" si="0"/>
        <v>21</v>
      </c>
      <c r="H4" s="4">
        <f>H3+G4</f>
        <v>116</v>
      </c>
      <c r="J4" s="14" t="s">
        <v>14</v>
      </c>
      <c r="K4" s="1">
        <f>K5*K6</f>
        <v>2.1825396825396823</v>
      </c>
      <c r="L4" s="16">
        <v>0.22</v>
      </c>
      <c r="M4" s="1">
        <v>-263.85038640723201</v>
      </c>
      <c r="N4" s="14" t="s">
        <v>14</v>
      </c>
      <c r="O4" s="1">
        <f>O5*O6</f>
        <v>2.1825396825396823</v>
      </c>
      <c r="P4" s="16">
        <v>0.12</v>
      </c>
      <c r="Q4" s="1">
        <v>0.41515625259447247</v>
      </c>
    </row>
    <row r="5" spans="1:17" ht="15.6" x14ac:dyDescent="0.25">
      <c r="A5" s="1" t="s">
        <v>14</v>
      </c>
      <c r="B5" s="1">
        <f>B6*B7</f>
        <v>2.1825396825396823</v>
      </c>
      <c r="D5" s="1">
        <v>4</v>
      </c>
      <c r="E5" s="2">
        <v>39814</v>
      </c>
      <c r="F5" s="2">
        <v>39844</v>
      </c>
      <c r="G5" s="4">
        <f t="shared" si="0"/>
        <v>18</v>
      </c>
      <c r="H5" s="4">
        <f>G5+H4</f>
        <v>134</v>
      </c>
      <c r="J5" s="14" t="s">
        <v>16</v>
      </c>
      <c r="K5" s="1">
        <f>1/252</f>
        <v>3.968253968253968E-3</v>
      </c>
      <c r="L5" s="16">
        <v>0.23</v>
      </c>
      <c r="M5" s="1">
        <v>-258.79438793933571</v>
      </c>
      <c r="N5" s="14" t="s">
        <v>16</v>
      </c>
      <c r="O5" s="1">
        <f>1/252</f>
        <v>3.968253968253968E-3</v>
      </c>
      <c r="P5" s="16">
        <v>0.13</v>
      </c>
      <c r="Q5" s="1">
        <v>0.19524918104247149</v>
      </c>
    </row>
    <row r="6" spans="1:17" ht="15.6" x14ac:dyDescent="0.25">
      <c r="A6" s="1" t="s">
        <v>16</v>
      </c>
      <c r="B6" s="1">
        <f>1/252</f>
        <v>3.968253968253968E-3</v>
      </c>
      <c r="D6" s="1">
        <v>5</v>
      </c>
      <c r="E6" s="2">
        <v>39845</v>
      </c>
      <c r="F6" s="2">
        <v>39872</v>
      </c>
      <c r="G6" s="4">
        <f t="shared" si="0"/>
        <v>20</v>
      </c>
      <c r="H6" s="4">
        <f>H5+G6</f>
        <v>154</v>
      </c>
      <c r="J6" s="14" t="s">
        <v>11</v>
      </c>
      <c r="K6" s="6">
        <f>H25</f>
        <v>550</v>
      </c>
      <c r="L6" s="16">
        <v>0.24</v>
      </c>
      <c r="M6" s="1">
        <v>-254.82610736558041</v>
      </c>
      <c r="N6" s="14" t="s">
        <v>11</v>
      </c>
      <c r="O6" s="6">
        <f>H25</f>
        <v>550</v>
      </c>
      <c r="P6" s="16">
        <v>0.14000000000000001</v>
      </c>
      <c r="Q6" s="1">
        <v>-0.21511735004058594</v>
      </c>
    </row>
    <row r="7" spans="1:17" ht="15.6" x14ac:dyDescent="0.25">
      <c r="A7" s="1" t="s">
        <v>11</v>
      </c>
      <c r="B7" s="6">
        <f>H25</f>
        <v>550</v>
      </c>
      <c r="D7" s="1">
        <v>6</v>
      </c>
      <c r="E7" s="2">
        <v>39873</v>
      </c>
      <c r="F7" s="2">
        <v>39903</v>
      </c>
      <c r="G7" s="4">
        <f t="shared" si="0"/>
        <v>22</v>
      </c>
      <c r="H7" s="4">
        <f>G7+H6</f>
        <v>176</v>
      </c>
      <c r="J7" s="14" t="s">
        <v>8</v>
      </c>
      <c r="K7" s="1">
        <f>B8</f>
        <v>10000</v>
      </c>
      <c r="L7" s="16">
        <v>0.25</v>
      </c>
      <c r="M7" s="1">
        <v>-250.82739810224345</v>
      </c>
      <c r="N7" s="14" t="s">
        <v>8</v>
      </c>
      <c r="O7" s="1">
        <f>B8</f>
        <v>10000</v>
      </c>
      <c r="P7" s="16">
        <v>0.15</v>
      </c>
      <c r="Q7" s="1">
        <v>-0.73965012636470517</v>
      </c>
    </row>
    <row r="8" spans="1:17" ht="15.6" x14ac:dyDescent="0.25">
      <c r="A8" s="1" t="s">
        <v>8</v>
      </c>
      <c r="B8" s="1">
        <v>10000</v>
      </c>
      <c r="D8" s="1">
        <v>7</v>
      </c>
      <c r="E8" s="2">
        <v>39904</v>
      </c>
      <c r="F8" s="2">
        <v>39933</v>
      </c>
      <c r="G8" s="4">
        <f t="shared" si="0"/>
        <v>20</v>
      </c>
      <c r="H8" s="4">
        <f>H7+G8</f>
        <v>196</v>
      </c>
      <c r="J8" s="14" t="s">
        <v>17</v>
      </c>
      <c r="K8" s="1">
        <v>0.79749999999999999</v>
      </c>
      <c r="L8" s="16">
        <v>0.26</v>
      </c>
      <c r="M8" s="1">
        <v>-246.17721462587608</v>
      </c>
      <c r="N8" s="14" t="s">
        <v>17</v>
      </c>
      <c r="O8" s="1">
        <v>0.79749999999999999</v>
      </c>
      <c r="P8" s="16">
        <v>0.16</v>
      </c>
      <c r="Q8" s="1">
        <v>-0.9387914707783237</v>
      </c>
    </row>
    <row r="9" spans="1:17" ht="15.6" x14ac:dyDescent="0.25">
      <c r="A9" s="1" t="s">
        <v>17</v>
      </c>
      <c r="B9" s="1">
        <v>0.79749999999999999</v>
      </c>
      <c r="D9" s="1">
        <v>8</v>
      </c>
      <c r="E9" s="2">
        <v>39934</v>
      </c>
      <c r="F9" s="2">
        <v>39964</v>
      </c>
      <c r="G9" s="4">
        <f t="shared" si="0"/>
        <v>19</v>
      </c>
      <c r="H9" s="4">
        <f>G9+H8</f>
        <v>215</v>
      </c>
      <c r="J9" s="14" t="s">
        <v>7</v>
      </c>
      <c r="K9" s="1">
        <v>1</v>
      </c>
      <c r="L9" s="16">
        <v>0.27</v>
      </c>
      <c r="M9" s="1">
        <v>-241.82808346998013</v>
      </c>
      <c r="N9" s="14" t="s">
        <v>7</v>
      </c>
      <c r="O9" s="1">
        <v>1</v>
      </c>
      <c r="P9" s="16">
        <v>0.17</v>
      </c>
      <c r="Q9" s="1">
        <v>-1.451104447029955</v>
      </c>
    </row>
    <row r="10" spans="1:17" ht="15.6" x14ac:dyDescent="0.25">
      <c r="A10" s="1" t="s">
        <v>7</v>
      </c>
      <c r="B10" s="1">
        <v>1</v>
      </c>
      <c r="D10" s="1">
        <v>9</v>
      </c>
      <c r="E10" s="2">
        <v>39965</v>
      </c>
      <c r="F10" s="2">
        <v>39994</v>
      </c>
      <c r="G10" s="4">
        <f t="shared" si="0"/>
        <v>22</v>
      </c>
      <c r="H10" s="4">
        <f>H9+G10</f>
        <v>237</v>
      </c>
      <c r="J10" s="14" t="s">
        <v>18</v>
      </c>
      <c r="K10" s="1">
        <v>1.5</v>
      </c>
      <c r="L10" s="16">
        <v>0.28000000000000003</v>
      </c>
      <c r="M10" s="1">
        <v>-238.18870417884693</v>
      </c>
      <c r="N10" s="14" t="s">
        <v>18</v>
      </c>
      <c r="O10" s="1">
        <v>1.5</v>
      </c>
      <c r="P10" s="16">
        <v>0.18</v>
      </c>
      <c r="Q10" s="1">
        <v>-1.977024990181794</v>
      </c>
    </row>
    <row r="11" spans="1:17" x14ac:dyDescent="0.25">
      <c r="A11" s="1" t="s">
        <v>18</v>
      </c>
      <c r="B11" s="1">
        <v>1.5</v>
      </c>
      <c r="D11" s="1">
        <v>10</v>
      </c>
      <c r="E11" s="2">
        <v>39995</v>
      </c>
      <c r="F11" s="2">
        <v>40025</v>
      </c>
      <c r="G11" s="4">
        <f t="shared" si="0"/>
        <v>22</v>
      </c>
      <c r="H11" s="4">
        <f>G11+H10</f>
        <v>259</v>
      </c>
      <c r="L11" s="16">
        <v>0.28999999999999998</v>
      </c>
      <c r="M11" s="1">
        <v>-234.02535055693932</v>
      </c>
      <c r="P11" s="16">
        <v>0.19</v>
      </c>
      <c r="Q11" s="1">
        <v>-2.0636877948470485</v>
      </c>
    </row>
    <row r="12" spans="1:17" x14ac:dyDescent="0.25">
      <c r="A12" s="1" t="s">
        <v>15</v>
      </c>
      <c r="B12" s="1">
        <v>-12.071045661658465</v>
      </c>
      <c r="D12" s="1">
        <v>11</v>
      </c>
      <c r="E12" s="2">
        <v>40026</v>
      </c>
      <c r="F12" s="2">
        <v>40056</v>
      </c>
      <c r="G12" s="4">
        <f t="shared" si="0"/>
        <v>21</v>
      </c>
      <c r="H12" s="4">
        <f>H11+G12</f>
        <v>280</v>
      </c>
      <c r="L12" s="16">
        <v>0.3</v>
      </c>
      <c r="M12" s="1">
        <v>-229.30617904140442</v>
      </c>
      <c r="P12" s="16">
        <v>0.2</v>
      </c>
      <c r="Q12" s="1">
        <v>-2.886405237839432</v>
      </c>
    </row>
    <row r="13" spans="1:17" x14ac:dyDescent="0.25">
      <c r="D13" s="1">
        <v>12</v>
      </c>
      <c r="E13" s="2">
        <v>40057</v>
      </c>
      <c r="F13" s="2">
        <v>40086</v>
      </c>
      <c r="G13" s="4">
        <f t="shared" si="0"/>
        <v>22</v>
      </c>
      <c r="H13" s="4">
        <f>G13+H12</f>
        <v>302</v>
      </c>
      <c r="L13" s="16">
        <v>0.31</v>
      </c>
      <c r="M13" s="1">
        <v>-225.43917190607323</v>
      </c>
      <c r="P13" s="16">
        <v>0.21</v>
      </c>
      <c r="Q13" s="1">
        <v>-3.2508359177135118</v>
      </c>
    </row>
    <row r="14" spans="1:17" x14ac:dyDescent="0.25">
      <c r="D14" s="1">
        <v>13</v>
      </c>
      <c r="E14" s="2">
        <v>40087</v>
      </c>
      <c r="F14" s="2">
        <v>40117</v>
      </c>
      <c r="G14" s="4">
        <f t="shared" si="0"/>
        <v>20</v>
      </c>
      <c r="H14" s="4">
        <f>H13+G14</f>
        <v>322</v>
      </c>
      <c r="L14" s="16">
        <v>0.32</v>
      </c>
      <c r="M14" s="1">
        <v>-220.53515077944726</v>
      </c>
      <c r="P14" s="16">
        <v>0.22</v>
      </c>
      <c r="Q14" s="1">
        <v>-3.2866464135707316</v>
      </c>
    </row>
    <row r="15" spans="1:17" x14ac:dyDescent="0.25">
      <c r="D15" s="1">
        <v>14</v>
      </c>
      <c r="E15" s="2">
        <v>40118</v>
      </c>
      <c r="F15" s="2">
        <v>40147</v>
      </c>
      <c r="G15" s="4">
        <f t="shared" si="0"/>
        <v>21</v>
      </c>
      <c r="H15" s="4">
        <f>G15+H14</f>
        <v>343</v>
      </c>
      <c r="L15" s="16">
        <v>0.33</v>
      </c>
      <c r="M15" s="1">
        <v>-216.8321858428792</v>
      </c>
      <c r="P15" s="16">
        <v>0.23</v>
      </c>
      <c r="Q15" s="1">
        <v>-3.8929146318743246</v>
      </c>
    </row>
    <row r="16" spans="1:17" x14ac:dyDescent="0.25">
      <c r="D16" s="1">
        <v>15</v>
      </c>
      <c r="E16" s="2">
        <v>40148</v>
      </c>
      <c r="F16" s="2">
        <v>40178</v>
      </c>
      <c r="G16" s="4">
        <f t="shared" si="0"/>
        <v>22</v>
      </c>
      <c r="H16" s="4">
        <f>H15+G16</f>
        <v>365</v>
      </c>
      <c r="L16" s="16">
        <v>0.34</v>
      </c>
      <c r="M16" s="1">
        <v>-212.7238496805081</v>
      </c>
      <c r="P16" s="16">
        <v>0.24</v>
      </c>
      <c r="Q16" s="1">
        <v>-4.3492013188565908</v>
      </c>
    </row>
    <row r="17" spans="4:17" x14ac:dyDescent="0.25">
      <c r="D17" s="1">
        <v>16</v>
      </c>
      <c r="E17" s="2">
        <v>40179</v>
      </c>
      <c r="F17" s="2">
        <v>40209</v>
      </c>
      <c r="G17" s="4">
        <f t="shared" si="0"/>
        <v>20</v>
      </c>
      <c r="H17" s="4">
        <f>G17+H16</f>
        <v>385</v>
      </c>
      <c r="L17" s="16">
        <v>0.35</v>
      </c>
      <c r="M17" s="1">
        <v>-208.55457470625208</v>
      </c>
      <c r="P17" s="16">
        <v>0.25</v>
      </c>
      <c r="Q17" s="1">
        <v>-4.8802476818570479</v>
      </c>
    </row>
    <row r="18" spans="4:17" x14ac:dyDescent="0.25">
      <c r="D18" s="1">
        <v>17</v>
      </c>
      <c r="E18" s="2">
        <v>40210</v>
      </c>
      <c r="F18" s="2">
        <v>40237</v>
      </c>
      <c r="G18" s="4">
        <f t="shared" si="0"/>
        <v>18</v>
      </c>
      <c r="H18" s="4">
        <f>H17+G18</f>
        <v>403</v>
      </c>
      <c r="L18" s="16">
        <v>0.36</v>
      </c>
      <c r="M18" s="1">
        <v>-205.06929862187886</v>
      </c>
      <c r="P18" s="16">
        <v>0.26</v>
      </c>
      <c r="Q18" s="1">
        <v>-5.3143620539471463</v>
      </c>
    </row>
    <row r="19" spans="4:17" x14ac:dyDescent="0.25">
      <c r="D19" s="1">
        <v>18</v>
      </c>
      <c r="E19" s="2">
        <v>40238</v>
      </c>
      <c r="F19" s="2">
        <v>40268</v>
      </c>
      <c r="G19" s="4">
        <f t="shared" si="0"/>
        <v>23</v>
      </c>
      <c r="H19" s="4">
        <f>G19+H18</f>
        <v>426</v>
      </c>
      <c r="L19" s="16">
        <v>0.37</v>
      </c>
      <c r="M19" s="1">
        <v>-200.01925763964454</v>
      </c>
      <c r="P19" s="16">
        <v>0.27</v>
      </c>
      <c r="Q19" s="1">
        <v>-5.5910250743936318</v>
      </c>
    </row>
    <row r="20" spans="4:17" x14ac:dyDescent="0.25">
      <c r="D20" s="1">
        <v>19</v>
      </c>
      <c r="E20" s="2">
        <v>40269</v>
      </c>
      <c r="F20" s="2">
        <v>40298</v>
      </c>
      <c r="G20" s="4">
        <f t="shared" si="0"/>
        <v>19</v>
      </c>
      <c r="H20" s="4">
        <f>H19+G20</f>
        <v>445</v>
      </c>
      <c r="L20" s="16">
        <v>0.38</v>
      </c>
      <c r="M20" s="1">
        <v>-196.62143842105573</v>
      </c>
      <c r="P20" s="16">
        <v>0.28000000000000003</v>
      </c>
      <c r="Q20" s="1">
        <v>-6.1421241725078266</v>
      </c>
    </row>
    <row r="21" spans="4:17" x14ac:dyDescent="0.25">
      <c r="D21" s="1">
        <v>20</v>
      </c>
      <c r="E21" s="2">
        <v>40299</v>
      </c>
      <c r="F21" s="2">
        <v>40329</v>
      </c>
      <c r="G21" s="4">
        <f t="shared" si="0"/>
        <v>20</v>
      </c>
      <c r="H21" s="4">
        <f>G21+H20</f>
        <v>465</v>
      </c>
      <c r="L21" s="16">
        <v>0.39</v>
      </c>
      <c r="M21" s="1">
        <v>-192.59921748894644</v>
      </c>
      <c r="P21" s="16">
        <v>0.28999999999999998</v>
      </c>
      <c r="Q21" s="1">
        <v>-6.7419892482849662</v>
      </c>
    </row>
    <row r="22" spans="4:17" x14ac:dyDescent="0.25">
      <c r="D22" s="1">
        <v>21</v>
      </c>
      <c r="E22" s="2">
        <v>40330</v>
      </c>
      <c r="F22" s="2">
        <v>40359</v>
      </c>
      <c r="G22" s="4">
        <f t="shared" si="0"/>
        <v>21</v>
      </c>
      <c r="H22" s="4">
        <f>H21+G22</f>
        <v>486</v>
      </c>
      <c r="L22" s="16">
        <v>0.4</v>
      </c>
      <c r="M22" s="1">
        <v>-188.37435251849513</v>
      </c>
      <c r="P22" s="16">
        <v>0.3</v>
      </c>
      <c r="Q22" s="1">
        <v>-6.5827964968310653</v>
      </c>
    </row>
    <row r="23" spans="4:17" x14ac:dyDescent="0.25">
      <c r="D23" s="1">
        <v>21</v>
      </c>
      <c r="E23" s="2">
        <v>40360</v>
      </c>
      <c r="F23" s="2">
        <v>40390</v>
      </c>
      <c r="G23" s="4">
        <f t="shared" si="0"/>
        <v>21</v>
      </c>
      <c r="H23" s="4">
        <f>G23+H22</f>
        <v>507</v>
      </c>
      <c r="L23" s="16">
        <v>0.41</v>
      </c>
      <c r="M23" s="1">
        <v>-184.00300562511205</v>
      </c>
      <c r="P23" s="16">
        <v>0.31</v>
      </c>
      <c r="Q23" s="1">
        <v>-7.5045592067359141</v>
      </c>
    </row>
    <row r="24" spans="4:17" x14ac:dyDescent="0.25">
      <c r="D24" s="1">
        <v>23</v>
      </c>
      <c r="E24" s="2">
        <v>40391</v>
      </c>
      <c r="F24" s="2">
        <v>40421</v>
      </c>
      <c r="G24" s="4">
        <f t="shared" si="0"/>
        <v>22</v>
      </c>
      <c r="H24" s="4">
        <f>H23+G24</f>
        <v>529</v>
      </c>
      <c r="L24" s="16">
        <v>0.42</v>
      </c>
      <c r="M24" s="1">
        <v>-180.81159651385747</v>
      </c>
      <c r="P24" s="16">
        <v>0.32</v>
      </c>
      <c r="Q24" s="1">
        <v>-7.5819117863233743</v>
      </c>
    </row>
    <row r="25" spans="4:17" x14ac:dyDescent="0.25">
      <c r="D25" s="1">
        <v>24</v>
      </c>
      <c r="E25" s="2">
        <v>40422</v>
      </c>
      <c r="F25" s="2">
        <v>40451</v>
      </c>
      <c r="G25" s="4">
        <f t="shared" si="0"/>
        <v>21</v>
      </c>
      <c r="H25" s="4">
        <f>G25+H24</f>
        <v>550</v>
      </c>
      <c r="L25" s="16">
        <v>0.43</v>
      </c>
      <c r="M25" s="1">
        <v>-176.92378447773845</v>
      </c>
      <c r="P25" s="16">
        <v>0.33</v>
      </c>
      <c r="Q25" s="1">
        <v>-7.9369227639365194</v>
      </c>
    </row>
    <row r="26" spans="4:17" x14ac:dyDescent="0.25">
      <c r="G26" s="3"/>
      <c r="H26" s="3"/>
      <c r="L26" s="16">
        <v>0.44</v>
      </c>
      <c r="M26" s="1">
        <v>-172.51038397474611</v>
      </c>
      <c r="P26" s="16">
        <v>0.34</v>
      </c>
      <c r="Q26" s="1">
        <v>-8.3066100632585389</v>
      </c>
    </row>
    <row r="27" spans="4:17" x14ac:dyDescent="0.25">
      <c r="L27" s="16">
        <v>0.45</v>
      </c>
      <c r="M27" s="1">
        <v>-169.57409607249997</v>
      </c>
      <c r="P27" s="16">
        <v>0.35</v>
      </c>
      <c r="Q27" s="1">
        <v>-8.6031841463755985</v>
      </c>
    </row>
    <row r="28" spans="4:17" x14ac:dyDescent="0.25">
      <c r="L28" s="16">
        <v>0.46</v>
      </c>
      <c r="M28" s="1">
        <v>-165.45859855829326</v>
      </c>
      <c r="P28" s="16">
        <v>0.36</v>
      </c>
      <c r="Q28" s="1">
        <v>-9.0990271059763028</v>
      </c>
    </row>
    <row r="29" spans="4:17" x14ac:dyDescent="0.25">
      <c r="L29" s="16">
        <v>0.46999999999999897</v>
      </c>
      <c r="M29" s="1">
        <v>-160.88185395999307</v>
      </c>
      <c r="P29" s="16">
        <v>0.37</v>
      </c>
      <c r="Q29" s="1">
        <v>-8.9666049123612783</v>
      </c>
    </row>
    <row r="30" spans="4:17" x14ac:dyDescent="0.25">
      <c r="L30" s="16">
        <v>0.47999999999999898</v>
      </c>
      <c r="M30" s="1">
        <v>-157.99228012357509</v>
      </c>
      <c r="P30" s="16">
        <v>0.38</v>
      </c>
      <c r="Q30" s="1">
        <v>-9.2934155831835277</v>
      </c>
    </row>
    <row r="31" spans="4:17" x14ac:dyDescent="0.25">
      <c r="L31" s="16">
        <v>0.48999999999999899</v>
      </c>
      <c r="M31" s="1">
        <v>-153.41092092870556</v>
      </c>
      <c r="P31" s="16">
        <v>0.39</v>
      </c>
      <c r="Q31" s="1">
        <v>-10.149167635727801</v>
      </c>
    </row>
    <row r="32" spans="4:17" x14ac:dyDescent="0.25">
      <c r="L32" s="16">
        <v>0.499999999999999</v>
      </c>
      <c r="M32" s="1">
        <v>-150.10045610991679</v>
      </c>
      <c r="P32" s="16">
        <v>0.4</v>
      </c>
      <c r="Q32" s="1">
        <v>-9.9949642659536018</v>
      </c>
    </row>
    <row r="33" spans="12:17" x14ac:dyDescent="0.25">
      <c r="L33" s="16">
        <v>0.50999999999999901</v>
      </c>
      <c r="M33" s="1">
        <v>-147.46672549029009</v>
      </c>
      <c r="P33" s="16">
        <v>0.41</v>
      </c>
      <c r="Q33" s="1">
        <v>-10.894195069474831</v>
      </c>
    </row>
    <row r="34" spans="12:17" x14ac:dyDescent="0.25">
      <c r="L34" s="16">
        <v>0.51999999999999902</v>
      </c>
      <c r="M34" s="1">
        <v>-143.1927205696955</v>
      </c>
      <c r="P34" s="16">
        <v>0.42</v>
      </c>
      <c r="Q34" s="1">
        <v>-10.454907701831598</v>
      </c>
    </row>
    <row r="35" spans="12:17" x14ac:dyDescent="0.25">
      <c r="L35" s="16">
        <v>0.52999999999999903</v>
      </c>
      <c r="M35" s="1">
        <v>-139.46281742329353</v>
      </c>
      <c r="P35" s="16">
        <v>0.43</v>
      </c>
      <c r="Q35" s="1">
        <v>-10.610847274555249</v>
      </c>
    </row>
    <row r="36" spans="12:17" x14ac:dyDescent="0.25">
      <c r="L36" s="16">
        <v>0.53999999999999904</v>
      </c>
      <c r="M36" s="1">
        <v>-136.822664266582</v>
      </c>
      <c r="P36" s="16">
        <v>0.44</v>
      </c>
      <c r="Q36" s="1">
        <v>-11.345049338107122</v>
      </c>
    </row>
    <row r="37" spans="12:17" x14ac:dyDescent="0.25">
      <c r="L37" s="16">
        <v>0.54999999999999905</v>
      </c>
      <c r="M37" s="1">
        <v>-131.81951424859972</v>
      </c>
      <c r="P37" s="16">
        <v>0.45</v>
      </c>
      <c r="Q37" s="1">
        <v>-11.505433225175336</v>
      </c>
    </row>
    <row r="38" spans="12:17" x14ac:dyDescent="0.25">
      <c r="L38" s="16">
        <v>0.55999999999999905</v>
      </c>
      <c r="M38" s="1">
        <v>-128.88051963009002</v>
      </c>
      <c r="P38" s="16">
        <v>0.46</v>
      </c>
      <c r="Q38" s="1">
        <v>-11.98966870693814</v>
      </c>
    </row>
    <row r="39" spans="12:17" x14ac:dyDescent="0.25">
      <c r="L39" s="16">
        <v>0.56999999999999895</v>
      </c>
      <c r="M39" s="1">
        <v>-126.40516263363823</v>
      </c>
      <c r="P39" s="16">
        <v>0.47</v>
      </c>
      <c r="Q39" s="1">
        <v>-12.076971047282266</v>
      </c>
    </row>
    <row r="40" spans="12:17" x14ac:dyDescent="0.25">
      <c r="L40" s="16">
        <v>0.57999999999999896</v>
      </c>
      <c r="M40" s="1">
        <v>-121.84450409999137</v>
      </c>
      <c r="P40" s="16">
        <v>0.48</v>
      </c>
      <c r="Q40" s="1">
        <v>-12.137858297052098</v>
      </c>
    </row>
    <row r="41" spans="12:17" x14ac:dyDescent="0.25">
      <c r="L41" s="16">
        <v>0.58999999999999897</v>
      </c>
      <c r="M41" s="1">
        <v>-118.69302244230866</v>
      </c>
      <c r="P41" s="16">
        <v>0.49</v>
      </c>
      <c r="Q41" s="1">
        <v>-12.778695780448727</v>
      </c>
    </row>
    <row r="42" spans="12:17" x14ac:dyDescent="0.25">
      <c r="L42" s="16">
        <v>0.59999999999999898</v>
      </c>
      <c r="M42" s="1">
        <v>-115.63715245612045</v>
      </c>
      <c r="P42" s="16">
        <v>0.5</v>
      </c>
      <c r="Q42" s="1">
        <v>-13.35389482020557</v>
      </c>
    </row>
    <row r="43" spans="12:17" x14ac:dyDescent="0.25">
      <c r="L43" s="16">
        <v>0.60999999999999899</v>
      </c>
      <c r="M43" s="1">
        <v>-111.31738555982909</v>
      </c>
      <c r="P43" s="16">
        <v>0.51</v>
      </c>
      <c r="Q43" s="1">
        <v>-12.723491057562704</v>
      </c>
    </row>
    <row r="44" spans="12:17" x14ac:dyDescent="0.25">
      <c r="L44" s="16">
        <v>0.619999999999999</v>
      </c>
      <c r="M44" s="1">
        <v>-109.59387122695919</v>
      </c>
      <c r="P44" s="16">
        <v>0.52</v>
      </c>
      <c r="Q44" s="1">
        <v>-13.071870830441982</v>
      </c>
    </row>
    <row r="45" spans="12:17" x14ac:dyDescent="0.25">
      <c r="L45" s="16">
        <v>0.62999999999999901</v>
      </c>
      <c r="M45" s="1">
        <v>-106.80380974708021</v>
      </c>
      <c r="P45" s="16">
        <v>0.53</v>
      </c>
      <c r="Q45" s="1">
        <v>-13.200452088047744</v>
      </c>
    </row>
    <row r="46" spans="12:17" x14ac:dyDescent="0.25">
      <c r="L46" s="16">
        <v>0.63999999999999901</v>
      </c>
      <c r="M46" s="1">
        <v>-102.18776697388783</v>
      </c>
      <c r="P46" s="16">
        <v>0.54</v>
      </c>
      <c r="Q46" s="1">
        <v>-13.110579053972256</v>
      </c>
    </row>
    <row r="47" spans="12:17" x14ac:dyDescent="0.25">
      <c r="L47" s="16">
        <v>0.64999999999999902</v>
      </c>
      <c r="M47" s="1">
        <v>-100.28459500149445</v>
      </c>
      <c r="P47" s="16">
        <v>0.55000000000000004</v>
      </c>
      <c r="Q47" s="1">
        <v>-13.553370440875325</v>
      </c>
    </row>
    <row r="48" spans="12:17" x14ac:dyDescent="0.25">
      <c r="L48" s="16">
        <v>0.65999999999999903</v>
      </c>
      <c r="M48" s="1">
        <v>-96.442376563786937</v>
      </c>
      <c r="P48" s="16">
        <v>0.56000000000000005</v>
      </c>
      <c r="Q48" s="1">
        <v>-13.969053411645588</v>
      </c>
    </row>
    <row r="49" spans="12:17" x14ac:dyDescent="0.25">
      <c r="L49" s="16">
        <v>0.66999999999999904</v>
      </c>
      <c r="M49" s="1">
        <v>-94.221964121202944</v>
      </c>
      <c r="P49" s="16">
        <v>0.56999999999999995</v>
      </c>
      <c r="Q49" s="1">
        <v>-13.590277148328608</v>
      </c>
    </row>
    <row r="50" spans="12:17" x14ac:dyDescent="0.25">
      <c r="L50" s="16">
        <v>0.67999999999999905</v>
      </c>
      <c r="M50" s="1">
        <v>-90.554708545183388</v>
      </c>
      <c r="P50" s="16">
        <v>0.57999999999999996</v>
      </c>
      <c r="Q50" s="1">
        <v>-13.739872978156612</v>
      </c>
    </row>
    <row r="51" spans="12:17" x14ac:dyDescent="0.25">
      <c r="L51" s="16">
        <v>0.68999999999999895</v>
      </c>
      <c r="M51" s="1">
        <v>-86.375021500485417</v>
      </c>
      <c r="P51" s="16">
        <v>0.59</v>
      </c>
      <c r="Q51" s="1">
        <v>-14.46815497296909</v>
      </c>
    </row>
    <row r="52" spans="12:17" x14ac:dyDescent="0.25">
      <c r="L52" s="16">
        <v>0.69999999999999896</v>
      </c>
      <c r="M52" s="1">
        <v>-84.76093897185207</v>
      </c>
      <c r="P52" s="16">
        <v>0.6</v>
      </c>
      <c r="Q52" s="1">
        <v>-13.986306868844304</v>
      </c>
    </row>
    <row r="53" spans="12:17" x14ac:dyDescent="0.25">
      <c r="L53" s="16">
        <v>0.70999999999999897</v>
      </c>
      <c r="M53" s="1">
        <v>-81.382135843708127</v>
      </c>
      <c r="P53" s="16">
        <v>0.61</v>
      </c>
      <c r="Q53" s="1">
        <v>-14.231482938844595</v>
      </c>
    </row>
    <row r="54" spans="12:17" x14ac:dyDescent="0.25">
      <c r="L54" s="16">
        <v>0.71999999999999897</v>
      </c>
      <c r="M54" s="1">
        <v>-76.880335052939472</v>
      </c>
      <c r="P54" s="16">
        <v>0.62</v>
      </c>
      <c r="Q54" s="1">
        <v>-15.141506193767281</v>
      </c>
    </row>
    <row r="55" spans="12:17" x14ac:dyDescent="0.25">
      <c r="L55" s="16">
        <v>0.72999999999999898</v>
      </c>
      <c r="M55" s="1">
        <v>-76.254950569087242</v>
      </c>
      <c r="P55" s="16">
        <v>0.63</v>
      </c>
      <c r="Q55" s="1">
        <v>-15.004625484582826</v>
      </c>
    </row>
    <row r="56" spans="12:17" x14ac:dyDescent="0.25">
      <c r="L56" s="16">
        <v>0.73999999999999899</v>
      </c>
      <c r="M56" s="1">
        <v>-72.948029071011433</v>
      </c>
      <c r="P56" s="16">
        <v>0.64</v>
      </c>
      <c r="Q56" s="1">
        <v>-14.757285898395367</v>
      </c>
    </row>
    <row r="57" spans="12:17" x14ac:dyDescent="0.25">
      <c r="L57" s="16">
        <v>0.749999999999999</v>
      </c>
      <c r="M57" s="1">
        <v>-69.616531653946367</v>
      </c>
      <c r="P57" s="16">
        <v>0.65</v>
      </c>
      <c r="Q57" s="1">
        <v>-15.38999153063186</v>
      </c>
    </row>
    <row r="58" spans="12:17" x14ac:dyDescent="0.25">
      <c r="L58" s="16">
        <v>0.75999999999999901</v>
      </c>
      <c r="M58" s="1">
        <v>-67.613594796977509</v>
      </c>
      <c r="P58" s="16">
        <v>0.66</v>
      </c>
      <c r="Q58" s="1">
        <v>-15.91838558080728</v>
      </c>
    </row>
    <row r="59" spans="12:17" x14ac:dyDescent="0.25">
      <c r="L59" s="16">
        <v>0.76999999999999902</v>
      </c>
      <c r="M59" s="1">
        <v>-63.978992218209754</v>
      </c>
      <c r="P59" s="16">
        <v>0.67</v>
      </c>
      <c r="Q59" s="1">
        <v>-16.500452248105677</v>
      </c>
    </row>
    <row r="60" spans="12:17" x14ac:dyDescent="0.25">
      <c r="L60" s="16">
        <v>0.77999999999999903</v>
      </c>
      <c r="M60" s="1">
        <v>-61.25276133921583</v>
      </c>
      <c r="P60" s="16">
        <v>0.68</v>
      </c>
      <c r="Q60" s="1">
        <v>-16.1159754553079</v>
      </c>
    </row>
    <row r="61" spans="12:17" x14ac:dyDescent="0.25">
      <c r="L61" s="16">
        <v>0.78999999999999904</v>
      </c>
      <c r="M61" s="1">
        <v>-59.717993502826523</v>
      </c>
      <c r="P61" s="16">
        <v>0.6900000000000005</v>
      </c>
      <c r="Q61" s="1">
        <v>-15.526460457792259</v>
      </c>
    </row>
    <row r="62" spans="12:17" x14ac:dyDescent="0.25">
      <c r="L62" s="16">
        <v>0.79999999999999905</v>
      </c>
      <c r="M62" s="1">
        <v>-55.694558879423987</v>
      </c>
      <c r="P62" s="16">
        <v>0.70000000000000051</v>
      </c>
      <c r="Q62" s="1">
        <v>-15.665807504427846</v>
      </c>
    </row>
    <row r="63" spans="12:17" x14ac:dyDescent="0.25">
      <c r="L63" s="16">
        <v>0.80999999999999905</v>
      </c>
      <c r="M63" s="1">
        <v>-53.255333616793123</v>
      </c>
      <c r="P63" s="16">
        <v>0.71000000000000052</v>
      </c>
      <c r="Q63" s="1">
        <v>-17.206062300689862</v>
      </c>
    </row>
    <row r="64" spans="12:17" x14ac:dyDescent="0.25">
      <c r="L64" s="16">
        <v>0.81999999999999895</v>
      </c>
      <c r="M64" s="1">
        <v>-52.054503815823026</v>
      </c>
      <c r="P64" s="16">
        <v>0.72000000000000053</v>
      </c>
      <c r="Q64" s="1">
        <v>-17.085660632679492</v>
      </c>
    </row>
    <row r="65" spans="12:17" x14ac:dyDescent="0.25">
      <c r="L65" s="16">
        <v>0.82999999999999896</v>
      </c>
      <c r="M65" s="1">
        <v>-47.201551698712606</v>
      </c>
      <c r="P65" s="16">
        <v>0.73000000000000054</v>
      </c>
      <c r="Q65" s="1">
        <v>-17.238671877445306</v>
      </c>
    </row>
    <row r="66" spans="12:17" x14ac:dyDescent="0.25">
      <c r="L66" s="16">
        <v>0.83999999999999897</v>
      </c>
      <c r="M66" s="1">
        <v>-44.634890789791527</v>
      </c>
      <c r="P66" s="16">
        <v>0.74000000000000055</v>
      </c>
      <c r="Q66" s="1">
        <v>-17.410760807804945</v>
      </c>
    </row>
    <row r="67" spans="12:17" x14ac:dyDescent="0.25">
      <c r="L67" s="16">
        <v>0.84999999999999898</v>
      </c>
      <c r="M67" s="1">
        <v>-43.06608272657818</v>
      </c>
      <c r="P67" s="16">
        <v>0.75000000000000056</v>
      </c>
      <c r="Q67" s="1">
        <v>-17.769261799407882</v>
      </c>
    </row>
    <row r="68" spans="12:17" x14ac:dyDescent="0.25">
      <c r="L68" s="16">
        <v>0.85999999999999899</v>
      </c>
      <c r="M68" s="1">
        <v>-40.336774828536491</v>
      </c>
      <c r="P68" s="16">
        <v>0.76000000000000056</v>
      </c>
      <c r="Q68" s="1">
        <v>-18.45390293489794</v>
      </c>
    </row>
    <row r="69" spans="12:17" x14ac:dyDescent="0.25">
      <c r="L69" s="16">
        <v>0.869999999999999</v>
      </c>
      <c r="M69" s="1">
        <v>-36.281927364499374</v>
      </c>
      <c r="P69" s="16">
        <v>0.77000000000000057</v>
      </c>
      <c r="Q69" s="1">
        <v>-18.339991840435147</v>
      </c>
    </row>
    <row r="70" spans="12:17" x14ac:dyDescent="0.25">
      <c r="L70" s="16">
        <v>0.87999999999999901</v>
      </c>
      <c r="M70" s="1">
        <v>-35.368395588130248</v>
      </c>
      <c r="P70" s="16">
        <v>0.78000000000000058</v>
      </c>
      <c r="Q70" s="1">
        <v>-18.989840147408607</v>
      </c>
    </row>
    <row r="71" spans="12:17" x14ac:dyDescent="0.25">
      <c r="L71" s="16">
        <v>0.88999999999999901</v>
      </c>
      <c r="M71" s="1">
        <v>-32.701053505424198</v>
      </c>
      <c r="P71" s="16">
        <v>0.79000000000000059</v>
      </c>
      <c r="Q71" s="1">
        <v>-19.178253569781319</v>
      </c>
    </row>
    <row r="72" spans="12:17" x14ac:dyDescent="0.25">
      <c r="L72" s="16">
        <v>0.89999999999999902</v>
      </c>
      <c r="M72" s="1">
        <v>-28.741901559369637</v>
      </c>
      <c r="P72" s="16">
        <v>0.8000000000000006</v>
      </c>
      <c r="Q72" s="1">
        <v>-18.816498404844268</v>
      </c>
    </row>
    <row r="73" spans="12:17" x14ac:dyDescent="0.25">
      <c r="L73" s="16">
        <v>0.90999999999999903</v>
      </c>
      <c r="M73" s="1">
        <v>-26.613405797368809</v>
      </c>
      <c r="P73" s="16">
        <v>0.81000000000000061</v>
      </c>
      <c r="Q73" s="1">
        <v>-18.472959929603014</v>
      </c>
    </row>
    <row r="74" spans="12:17" x14ac:dyDescent="0.25">
      <c r="L74" s="16">
        <v>0.91999999999999904</v>
      </c>
      <c r="M74" s="1">
        <v>-24.433291106500594</v>
      </c>
      <c r="P74" s="16">
        <v>0.82000000000000062</v>
      </c>
      <c r="Q74" s="1">
        <v>-18.516005820755709</v>
      </c>
    </row>
    <row r="75" spans="12:17" x14ac:dyDescent="0.25">
      <c r="L75" s="16">
        <v>0.92999999999999905</v>
      </c>
      <c r="M75" s="1">
        <v>-22.140433138845033</v>
      </c>
      <c r="P75" s="16">
        <v>0.83000000000000063</v>
      </c>
      <c r="Q75" s="1">
        <v>-20.052696901082609</v>
      </c>
    </row>
    <row r="76" spans="12:17" x14ac:dyDescent="0.25">
      <c r="L76" s="16">
        <v>0.93999999999999895</v>
      </c>
      <c r="M76" s="1">
        <v>-18.815279667761246</v>
      </c>
      <c r="P76" s="16">
        <v>0.84000000000000064</v>
      </c>
      <c r="Q76" s="1">
        <v>-19.724699115043645</v>
      </c>
    </row>
    <row r="77" spans="12:17" x14ac:dyDescent="0.25">
      <c r="L77" s="16">
        <v>0.94999999999999896</v>
      </c>
      <c r="M77" s="1">
        <v>-17.082832677067103</v>
      </c>
      <c r="P77" s="16">
        <v>0.85000000000000064</v>
      </c>
      <c r="Q77" s="1">
        <v>-19.826013193629588</v>
      </c>
    </row>
    <row r="78" spans="12:17" x14ac:dyDescent="0.25">
      <c r="L78" s="16">
        <v>0.95999999999999897</v>
      </c>
      <c r="M78" s="1">
        <v>-15.595140002323543</v>
      </c>
      <c r="P78" s="16">
        <v>0.86000000000000065</v>
      </c>
      <c r="Q78" s="1">
        <v>-19.975713526048558</v>
      </c>
    </row>
    <row r="79" spans="12:17" x14ac:dyDescent="0.25">
      <c r="L79" s="16">
        <v>0.96999999999999897</v>
      </c>
      <c r="M79" s="1">
        <v>-12.403923372120497</v>
      </c>
      <c r="P79" s="16">
        <v>0.87000000000000066</v>
      </c>
      <c r="Q79" s="1">
        <v>-19.47723893961215</v>
      </c>
    </row>
    <row r="80" spans="12:17" x14ac:dyDescent="0.25">
      <c r="L80" s="16">
        <v>0.97999999999999798</v>
      </c>
      <c r="M80" s="1">
        <v>-9.2767654760113789</v>
      </c>
      <c r="P80" s="16">
        <v>0.88000000000000067</v>
      </c>
      <c r="Q80" s="1">
        <v>-20.437083695911994</v>
      </c>
    </row>
    <row r="81" spans="12:17" x14ac:dyDescent="0.25">
      <c r="L81" s="16">
        <v>0.98999999999999799</v>
      </c>
      <c r="M81" s="1">
        <v>-7.8267435546624782</v>
      </c>
      <c r="P81" s="16">
        <v>0.89000000000000068</v>
      </c>
      <c r="Q81" s="1">
        <v>-20.312907227458734</v>
      </c>
    </row>
    <row r="82" spans="12:17" x14ac:dyDescent="0.25">
      <c r="L82" s="16"/>
    </row>
    <row r="83" spans="12:17" x14ac:dyDescent="0.25">
      <c r="L83" s="16"/>
    </row>
    <row r="84" spans="12:17" x14ac:dyDescent="0.25">
      <c r="L84" s="16"/>
    </row>
    <row r="85" spans="12:17" x14ac:dyDescent="0.25">
      <c r="L85" s="16"/>
    </row>
    <row r="86" spans="12:17" x14ac:dyDescent="0.25">
      <c r="L86" s="16"/>
    </row>
    <row r="87" spans="12:17" x14ac:dyDescent="0.25">
      <c r="L87" s="16"/>
    </row>
    <row r="88" spans="12:17" x14ac:dyDescent="0.25">
      <c r="L88" s="16"/>
    </row>
    <row r="89" spans="12:17" x14ac:dyDescent="0.25">
      <c r="L89" s="16"/>
    </row>
    <row r="90" spans="12:17" x14ac:dyDescent="0.25">
      <c r="L90" s="16"/>
    </row>
    <row r="91" spans="12:17" x14ac:dyDescent="0.25">
      <c r="L91" s="16"/>
    </row>
    <row r="92" spans="12:17" x14ac:dyDescent="0.25">
      <c r="L92" s="16"/>
    </row>
    <row r="93" spans="12:17" x14ac:dyDescent="0.25">
      <c r="L93" s="16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X_A1">
                <anchor moveWithCells="1" sizeWithCells="1">
                  <from>
                    <xdr:col>0</xdr:col>
                    <xdr:colOff>800100</xdr:colOff>
                    <xdr:row>14</xdr:row>
                    <xdr:rowOff>38100</xdr:rowOff>
                  </from>
                  <to>
                    <xdr:col>1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X_A2">
                <anchor moveWithCells="1" sizeWithCells="1">
                  <from>
                    <xdr:col>0</xdr:col>
                    <xdr:colOff>800100</xdr:colOff>
                    <xdr:row>18</xdr:row>
                    <xdr:rowOff>68580</xdr:rowOff>
                  </from>
                  <to>
                    <xdr:col>1</xdr:col>
                    <xdr:colOff>457200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X_A3">
                <anchor moveWithCells="1" sizeWithCells="1">
                  <from>
                    <xdr:col>0</xdr:col>
                    <xdr:colOff>807720</xdr:colOff>
                    <xdr:row>22</xdr:row>
                    <xdr:rowOff>60960</xdr:rowOff>
                  </from>
                  <to>
                    <xdr:col>1</xdr:col>
                    <xdr:colOff>464820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raph">
                <anchor moveWithCells="1" sizeWithCells="1">
                  <from>
                    <xdr:col>0</xdr:col>
                    <xdr:colOff>807720</xdr:colOff>
                    <xdr:row>25</xdr:row>
                    <xdr:rowOff>121920</xdr:rowOff>
                  </from>
                  <to>
                    <xdr:col>1</xdr:col>
                    <xdr:colOff>464820</xdr:colOff>
                    <xdr:row>27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24"/>
  <sheetViews>
    <sheetView workbookViewId="0">
      <selection activeCell="B16" sqref="B16"/>
    </sheetView>
  </sheetViews>
  <sheetFormatPr defaultRowHeight="15" x14ac:dyDescent="0.25"/>
  <cols>
    <col min="1" max="1" width="12.109375" bestFit="1" customWidth="1"/>
    <col min="5" max="5" width="12.109375" bestFit="1" customWidth="1"/>
  </cols>
  <sheetData>
    <row r="1" spans="1:6" x14ac:dyDescent="0.25">
      <c r="A1" s="11" t="s">
        <v>19</v>
      </c>
      <c r="B1" s="11" t="s">
        <v>20</v>
      </c>
      <c r="C1" t="s">
        <v>21</v>
      </c>
    </row>
    <row r="2" spans="1:6" x14ac:dyDescent="0.25">
      <c r="A2" s="8">
        <v>39630</v>
      </c>
      <c r="B2">
        <v>0.9617</v>
      </c>
      <c r="E2" s="9">
        <v>39644</v>
      </c>
      <c r="F2" s="10">
        <v>0.96930000000000005</v>
      </c>
    </row>
    <row r="3" spans="1:6" x14ac:dyDescent="0.25">
      <c r="A3" s="8">
        <v>39631</v>
      </c>
      <c r="B3">
        <v>0.95599999999999996</v>
      </c>
      <c r="E3" s="9">
        <v>39737</v>
      </c>
      <c r="F3" s="10">
        <v>0.69289999999999996</v>
      </c>
    </row>
    <row r="4" spans="1:6" x14ac:dyDescent="0.25">
      <c r="A4" s="8">
        <v>39632</v>
      </c>
      <c r="B4">
        <v>0.95960000000000001</v>
      </c>
    </row>
    <row r="5" spans="1:6" x14ac:dyDescent="0.25">
      <c r="A5" s="8">
        <v>39633</v>
      </c>
      <c r="B5">
        <v>0.96140000000000003</v>
      </c>
    </row>
    <row r="6" spans="1:6" x14ac:dyDescent="0.25">
      <c r="A6" s="8">
        <v>39634</v>
      </c>
      <c r="B6">
        <v>0.96189999999999998</v>
      </c>
    </row>
    <row r="7" spans="1:6" x14ac:dyDescent="0.25">
      <c r="A7" s="8">
        <v>39635</v>
      </c>
      <c r="B7">
        <v>0.96340000000000003</v>
      </c>
    </row>
    <row r="8" spans="1:6" x14ac:dyDescent="0.25">
      <c r="A8" s="8">
        <v>39636</v>
      </c>
      <c r="B8">
        <v>0.96340000000000003</v>
      </c>
    </row>
    <row r="9" spans="1:6" x14ac:dyDescent="0.25">
      <c r="A9" s="8">
        <v>39637</v>
      </c>
      <c r="B9">
        <v>0.95850000000000002</v>
      </c>
    </row>
    <row r="10" spans="1:6" x14ac:dyDescent="0.25">
      <c r="A10" s="8">
        <v>39638</v>
      </c>
      <c r="B10">
        <v>0.95399999999999996</v>
      </c>
    </row>
    <row r="11" spans="1:6" x14ac:dyDescent="0.25">
      <c r="A11" s="8">
        <v>39639</v>
      </c>
      <c r="B11">
        <v>0.95320000000000005</v>
      </c>
    </row>
    <row r="12" spans="1:6" x14ac:dyDescent="0.25">
      <c r="A12" s="8">
        <v>39640</v>
      </c>
      <c r="B12">
        <v>0.95930000000000004</v>
      </c>
    </row>
    <row r="13" spans="1:6" x14ac:dyDescent="0.25">
      <c r="A13" s="8">
        <v>39641</v>
      </c>
      <c r="B13">
        <v>0.96330000000000005</v>
      </c>
    </row>
    <row r="14" spans="1:6" x14ac:dyDescent="0.25">
      <c r="A14" s="8">
        <v>39642</v>
      </c>
      <c r="B14">
        <v>0.96640000000000004</v>
      </c>
    </row>
    <row r="15" spans="1:6" x14ac:dyDescent="0.25">
      <c r="A15" s="12">
        <v>39643</v>
      </c>
      <c r="B15" s="13">
        <v>0.96640000000000004</v>
      </c>
    </row>
    <row r="16" spans="1:6" x14ac:dyDescent="0.25">
      <c r="A16" s="9">
        <v>39644</v>
      </c>
      <c r="B16" s="10">
        <v>0.96930000000000005</v>
      </c>
    </row>
    <row r="17" spans="1:2" x14ac:dyDescent="0.25">
      <c r="A17" s="12">
        <v>39645</v>
      </c>
      <c r="B17" s="13">
        <v>0.97740000000000005</v>
      </c>
    </row>
    <row r="18" spans="1:2" x14ac:dyDescent="0.25">
      <c r="A18" s="8">
        <v>39646</v>
      </c>
      <c r="B18">
        <v>0.97750000000000004</v>
      </c>
    </row>
    <row r="19" spans="1:2" x14ac:dyDescent="0.25">
      <c r="A19" s="8">
        <v>39647</v>
      </c>
      <c r="B19">
        <v>0.97509999999999997</v>
      </c>
    </row>
    <row r="20" spans="1:2" x14ac:dyDescent="0.25">
      <c r="A20" s="8">
        <v>39648</v>
      </c>
      <c r="B20">
        <v>0.97189999999999999</v>
      </c>
    </row>
    <row r="21" spans="1:2" x14ac:dyDescent="0.25">
      <c r="A21" s="8">
        <v>39649</v>
      </c>
      <c r="B21">
        <v>0.97019999999999995</v>
      </c>
    </row>
    <row r="22" spans="1:2" x14ac:dyDescent="0.25">
      <c r="A22" s="8">
        <v>39650</v>
      </c>
      <c r="B22">
        <v>0.97030000000000005</v>
      </c>
    </row>
    <row r="23" spans="1:2" x14ac:dyDescent="0.25">
      <c r="A23" s="8">
        <v>39651</v>
      </c>
      <c r="B23">
        <v>0.97450000000000003</v>
      </c>
    </row>
    <row r="24" spans="1:2" x14ac:dyDescent="0.25">
      <c r="A24" s="8">
        <v>39652</v>
      </c>
      <c r="B24">
        <v>0.97509999999999997</v>
      </c>
    </row>
    <row r="25" spans="1:2" x14ac:dyDescent="0.25">
      <c r="A25" s="8">
        <v>39653</v>
      </c>
      <c r="B25">
        <v>0.96719999999999995</v>
      </c>
    </row>
    <row r="26" spans="1:2" x14ac:dyDescent="0.25">
      <c r="A26" s="8">
        <v>39654</v>
      </c>
      <c r="B26">
        <v>0.95950000000000002</v>
      </c>
    </row>
    <row r="27" spans="1:2" x14ac:dyDescent="0.25">
      <c r="A27" s="8">
        <v>39655</v>
      </c>
      <c r="B27">
        <v>0.95730000000000004</v>
      </c>
    </row>
    <row r="28" spans="1:2" x14ac:dyDescent="0.25">
      <c r="A28" s="8">
        <v>39656</v>
      </c>
      <c r="B28">
        <v>0.95620000000000005</v>
      </c>
    </row>
    <row r="29" spans="1:2" x14ac:dyDescent="0.25">
      <c r="A29" s="8">
        <v>39657</v>
      </c>
      <c r="B29">
        <v>0.95620000000000005</v>
      </c>
    </row>
    <row r="30" spans="1:2" x14ac:dyDescent="0.25">
      <c r="A30" s="8">
        <v>39658</v>
      </c>
      <c r="B30">
        <v>0.95599999999999996</v>
      </c>
    </row>
    <row r="31" spans="1:2" x14ac:dyDescent="0.25">
      <c r="A31" s="8">
        <v>39659</v>
      </c>
      <c r="B31">
        <v>0.9556</v>
      </c>
    </row>
    <row r="32" spans="1:2" x14ac:dyDescent="0.25">
      <c r="A32" s="8">
        <v>39660</v>
      </c>
      <c r="B32">
        <v>0.94750000000000001</v>
      </c>
    </row>
    <row r="33" spans="1:2" x14ac:dyDescent="0.25">
      <c r="A33" s="8">
        <v>39661</v>
      </c>
      <c r="B33">
        <v>0.94379999999999997</v>
      </c>
    </row>
    <row r="34" spans="1:2" x14ac:dyDescent="0.25">
      <c r="A34" s="8">
        <v>39662</v>
      </c>
      <c r="B34">
        <v>0.92920000000000003</v>
      </c>
    </row>
    <row r="35" spans="1:2" x14ac:dyDescent="0.25">
      <c r="A35" s="8">
        <v>39663</v>
      </c>
      <c r="B35">
        <v>0.92910000000000004</v>
      </c>
    </row>
    <row r="36" spans="1:2" x14ac:dyDescent="0.25">
      <c r="A36" s="8">
        <v>39664</v>
      </c>
      <c r="B36">
        <v>0.92910000000000004</v>
      </c>
    </row>
    <row r="37" spans="1:2" x14ac:dyDescent="0.25">
      <c r="A37" s="8">
        <v>39665</v>
      </c>
      <c r="B37">
        <v>0.93140000000000001</v>
      </c>
    </row>
    <row r="38" spans="1:2" x14ac:dyDescent="0.25">
      <c r="A38" s="8">
        <v>39666</v>
      </c>
      <c r="B38">
        <v>0.92159999999999997</v>
      </c>
    </row>
    <row r="39" spans="1:2" x14ac:dyDescent="0.25">
      <c r="A39" s="8">
        <v>39667</v>
      </c>
      <c r="B39">
        <v>0.91449999999999998</v>
      </c>
    </row>
    <row r="40" spans="1:2" x14ac:dyDescent="0.25">
      <c r="A40" s="8">
        <v>39668</v>
      </c>
      <c r="B40">
        <v>0.90969999999999995</v>
      </c>
    </row>
    <row r="41" spans="1:2" x14ac:dyDescent="0.25">
      <c r="A41" s="8">
        <v>39669</v>
      </c>
      <c r="B41">
        <v>0.89539999999999997</v>
      </c>
    </row>
    <row r="42" spans="1:2" x14ac:dyDescent="0.25">
      <c r="A42" s="8">
        <v>39670</v>
      </c>
      <c r="B42">
        <v>0.88859999999999995</v>
      </c>
    </row>
    <row r="43" spans="1:2" x14ac:dyDescent="0.25">
      <c r="A43" s="8">
        <v>39671</v>
      </c>
      <c r="B43">
        <v>0.88859999999999995</v>
      </c>
    </row>
    <row r="44" spans="1:2" x14ac:dyDescent="0.25">
      <c r="A44" s="8">
        <v>39672</v>
      </c>
      <c r="B44">
        <v>0.88749999999999996</v>
      </c>
    </row>
    <row r="45" spans="1:2" x14ac:dyDescent="0.25">
      <c r="A45" s="8">
        <v>39673</v>
      </c>
      <c r="B45">
        <v>0.87770000000000004</v>
      </c>
    </row>
    <row r="46" spans="1:2" x14ac:dyDescent="0.25">
      <c r="A46" s="8">
        <v>39674</v>
      </c>
      <c r="B46">
        <v>0.86939999999999995</v>
      </c>
    </row>
    <row r="47" spans="1:2" x14ac:dyDescent="0.25">
      <c r="A47" s="8">
        <v>39675</v>
      </c>
      <c r="B47">
        <v>0.87290000000000001</v>
      </c>
    </row>
    <row r="48" spans="1:2" x14ac:dyDescent="0.25">
      <c r="A48" s="8">
        <v>39676</v>
      </c>
      <c r="B48">
        <v>0.86550000000000005</v>
      </c>
    </row>
    <row r="49" spans="1:2" x14ac:dyDescent="0.25">
      <c r="A49" s="8">
        <v>39677</v>
      </c>
      <c r="B49">
        <v>0.86609999999999998</v>
      </c>
    </row>
    <row r="50" spans="1:2" x14ac:dyDescent="0.25">
      <c r="A50" s="8">
        <v>39678</v>
      </c>
      <c r="B50">
        <v>0.86609999999999998</v>
      </c>
    </row>
    <row r="51" spans="1:2" x14ac:dyDescent="0.25">
      <c r="A51" s="8">
        <v>39679</v>
      </c>
      <c r="B51">
        <v>0.871</v>
      </c>
    </row>
    <row r="52" spans="1:2" x14ac:dyDescent="0.25">
      <c r="A52" s="8">
        <v>39680</v>
      </c>
      <c r="B52">
        <v>0.86780000000000002</v>
      </c>
    </row>
    <row r="53" spans="1:2" x14ac:dyDescent="0.25">
      <c r="A53" s="8">
        <v>39681</v>
      </c>
      <c r="B53">
        <v>0.87129999999999996</v>
      </c>
    </row>
    <row r="54" spans="1:2" x14ac:dyDescent="0.25">
      <c r="A54" s="8">
        <v>39682</v>
      </c>
      <c r="B54">
        <v>0.87360000000000004</v>
      </c>
    </row>
    <row r="55" spans="1:2" x14ac:dyDescent="0.25">
      <c r="A55" s="8">
        <v>39683</v>
      </c>
      <c r="B55">
        <v>0.87439999999999996</v>
      </c>
    </row>
    <row r="56" spans="1:2" x14ac:dyDescent="0.25">
      <c r="A56" s="8">
        <v>39684</v>
      </c>
      <c r="B56">
        <v>0.86860000000000004</v>
      </c>
    </row>
    <row r="57" spans="1:2" x14ac:dyDescent="0.25">
      <c r="A57" s="8">
        <v>39685</v>
      </c>
      <c r="B57">
        <v>0.86639999999999995</v>
      </c>
    </row>
    <row r="58" spans="1:2" x14ac:dyDescent="0.25">
      <c r="A58" s="8">
        <v>39686</v>
      </c>
      <c r="B58">
        <v>0.86539999999999995</v>
      </c>
    </row>
    <row r="59" spans="1:2" x14ac:dyDescent="0.25">
      <c r="A59" s="8">
        <v>39687</v>
      </c>
      <c r="B59">
        <v>0.85699999999999998</v>
      </c>
    </row>
    <row r="60" spans="1:2" x14ac:dyDescent="0.25">
      <c r="A60" s="8">
        <v>39688</v>
      </c>
      <c r="B60">
        <v>0.85840000000000005</v>
      </c>
    </row>
    <row r="61" spans="1:2" x14ac:dyDescent="0.25">
      <c r="A61" s="8">
        <v>39689</v>
      </c>
      <c r="B61">
        <v>0.8639</v>
      </c>
    </row>
    <row r="62" spans="1:2" x14ac:dyDescent="0.25">
      <c r="A62" s="8">
        <v>39690</v>
      </c>
      <c r="B62">
        <v>0.86199999999999999</v>
      </c>
    </row>
    <row r="63" spans="1:2" x14ac:dyDescent="0.25">
      <c r="A63" s="8">
        <v>39691</v>
      </c>
      <c r="B63">
        <v>0.85799999999999998</v>
      </c>
    </row>
    <row r="64" spans="1:2" x14ac:dyDescent="0.25">
      <c r="A64" s="8">
        <v>39692</v>
      </c>
      <c r="B64">
        <v>0.8579</v>
      </c>
    </row>
    <row r="65" spans="1:2" x14ac:dyDescent="0.25">
      <c r="A65" s="8">
        <v>39693</v>
      </c>
      <c r="B65">
        <v>0.85329999999999995</v>
      </c>
    </row>
    <row r="66" spans="1:2" x14ac:dyDescent="0.25">
      <c r="A66" s="8">
        <v>39694</v>
      </c>
      <c r="B66">
        <v>0.84160000000000001</v>
      </c>
    </row>
    <row r="67" spans="1:2" x14ac:dyDescent="0.25">
      <c r="A67" s="8">
        <v>39695</v>
      </c>
      <c r="B67">
        <v>0.83230000000000004</v>
      </c>
    </row>
    <row r="68" spans="1:2" x14ac:dyDescent="0.25">
      <c r="A68" s="8">
        <v>39696</v>
      </c>
      <c r="B68">
        <v>0.83360000000000001</v>
      </c>
    </row>
    <row r="69" spans="1:2" x14ac:dyDescent="0.25">
      <c r="A69" s="8">
        <v>39697</v>
      </c>
      <c r="B69">
        <v>0.81430000000000002</v>
      </c>
    </row>
    <row r="70" spans="1:2" x14ac:dyDescent="0.25">
      <c r="A70" s="8">
        <v>39698</v>
      </c>
      <c r="B70">
        <v>0.81579999999999997</v>
      </c>
    </row>
    <row r="71" spans="1:2" x14ac:dyDescent="0.25">
      <c r="A71" s="8">
        <v>39699</v>
      </c>
      <c r="B71">
        <v>0.81620000000000004</v>
      </c>
    </row>
    <row r="72" spans="1:2" x14ac:dyDescent="0.25">
      <c r="A72" s="8">
        <v>39700</v>
      </c>
      <c r="B72">
        <v>0.82410000000000005</v>
      </c>
    </row>
    <row r="73" spans="1:2" x14ac:dyDescent="0.25">
      <c r="A73" s="8">
        <v>39701</v>
      </c>
      <c r="B73">
        <v>0.81059999999999999</v>
      </c>
    </row>
    <row r="74" spans="1:2" x14ac:dyDescent="0.25">
      <c r="A74" s="8">
        <v>39702</v>
      </c>
      <c r="B74">
        <v>0.80520000000000003</v>
      </c>
    </row>
    <row r="75" spans="1:2" x14ac:dyDescent="0.25">
      <c r="A75" s="8">
        <v>39703</v>
      </c>
      <c r="B75">
        <v>0.79659999999999997</v>
      </c>
    </row>
    <row r="76" spans="1:2" x14ac:dyDescent="0.25">
      <c r="A76" s="8">
        <v>39704</v>
      </c>
      <c r="B76">
        <v>0.80869999999999997</v>
      </c>
    </row>
    <row r="77" spans="1:2" x14ac:dyDescent="0.25">
      <c r="A77" s="8">
        <v>39705</v>
      </c>
      <c r="B77">
        <v>0.82369999999999999</v>
      </c>
    </row>
    <row r="78" spans="1:2" x14ac:dyDescent="0.25">
      <c r="A78" s="8">
        <v>39706</v>
      </c>
      <c r="B78">
        <v>0.82350000000000001</v>
      </c>
    </row>
    <row r="79" spans="1:2" x14ac:dyDescent="0.25">
      <c r="A79" s="8">
        <v>39707</v>
      </c>
      <c r="B79">
        <v>0.8145</v>
      </c>
    </row>
    <row r="80" spans="1:2" x14ac:dyDescent="0.25">
      <c r="A80" s="8">
        <v>39708</v>
      </c>
      <c r="B80">
        <v>0.79369999999999996</v>
      </c>
    </row>
    <row r="81" spans="1:2" x14ac:dyDescent="0.25">
      <c r="A81" s="8">
        <v>39709</v>
      </c>
      <c r="B81">
        <v>0.79559999999999997</v>
      </c>
    </row>
    <row r="82" spans="1:2" x14ac:dyDescent="0.25">
      <c r="A82" s="8">
        <v>39710</v>
      </c>
      <c r="B82">
        <v>0.7974</v>
      </c>
    </row>
    <row r="83" spans="1:2" x14ac:dyDescent="0.25">
      <c r="A83" s="8">
        <v>39711</v>
      </c>
      <c r="B83">
        <v>0.81910000000000005</v>
      </c>
    </row>
    <row r="84" spans="1:2" x14ac:dyDescent="0.25">
      <c r="A84" s="8">
        <v>39712</v>
      </c>
      <c r="B84">
        <v>0.83389999999999997</v>
      </c>
    </row>
    <row r="85" spans="1:2" x14ac:dyDescent="0.25">
      <c r="A85" s="8">
        <v>39713</v>
      </c>
      <c r="B85">
        <v>0.83399999999999996</v>
      </c>
    </row>
    <row r="86" spans="1:2" x14ac:dyDescent="0.25">
      <c r="A86" s="8">
        <v>39714</v>
      </c>
      <c r="B86">
        <v>0.83699999999999997</v>
      </c>
    </row>
    <row r="87" spans="1:2" x14ac:dyDescent="0.25">
      <c r="A87" s="8">
        <v>39715</v>
      </c>
      <c r="B87">
        <v>0.84089999999999998</v>
      </c>
    </row>
    <row r="88" spans="1:2" x14ac:dyDescent="0.25">
      <c r="A88" s="8">
        <v>39716</v>
      </c>
      <c r="B88">
        <v>0.83620000000000005</v>
      </c>
    </row>
    <row r="89" spans="1:2" x14ac:dyDescent="0.25">
      <c r="A89" s="8">
        <v>39717</v>
      </c>
      <c r="B89">
        <v>0.83699999999999997</v>
      </c>
    </row>
    <row r="90" spans="1:2" x14ac:dyDescent="0.25">
      <c r="A90" s="8">
        <v>39718</v>
      </c>
      <c r="B90">
        <v>0.83020000000000005</v>
      </c>
    </row>
    <row r="91" spans="1:2" x14ac:dyDescent="0.25">
      <c r="A91" s="8">
        <v>39719</v>
      </c>
      <c r="B91">
        <v>0.83099999999999996</v>
      </c>
    </row>
    <row r="92" spans="1:2" x14ac:dyDescent="0.25">
      <c r="A92" s="8">
        <v>39720</v>
      </c>
      <c r="B92">
        <v>0.83120000000000005</v>
      </c>
    </row>
    <row r="93" spans="1:2" x14ac:dyDescent="0.25">
      <c r="A93" s="8">
        <v>39721</v>
      </c>
      <c r="B93">
        <v>0.82089999999999996</v>
      </c>
    </row>
    <row r="94" spans="1:2" x14ac:dyDescent="0.25">
      <c r="A94" s="8">
        <v>39722</v>
      </c>
      <c r="B94">
        <v>0.79990000000000006</v>
      </c>
    </row>
    <row r="95" spans="1:2" x14ac:dyDescent="0.25">
      <c r="A95" s="8">
        <v>39723</v>
      </c>
      <c r="B95">
        <v>0.79459999999999997</v>
      </c>
    </row>
    <row r="96" spans="1:2" x14ac:dyDescent="0.25">
      <c r="A96" s="8">
        <v>39724</v>
      </c>
      <c r="B96">
        <v>0.78469999999999995</v>
      </c>
    </row>
    <row r="97" spans="1:2" x14ac:dyDescent="0.25">
      <c r="A97" s="8">
        <v>39725</v>
      </c>
      <c r="B97">
        <v>0.77639999999999998</v>
      </c>
    </row>
    <row r="98" spans="1:2" x14ac:dyDescent="0.25">
      <c r="A98" s="8">
        <v>39726</v>
      </c>
      <c r="B98">
        <v>0.77410000000000001</v>
      </c>
    </row>
    <row r="99" spans="1:2" x14ac:dyDescent="0.25">
      <c r="A99" s="8">
        <v>39727</v>
      </c>
      <c r="B99">
        <v>0.77380000000000004</v>
      </c>
    </row>
    <row r="100" spans="1:2" x14ac:dyDescent="0.25">
      <c r="A100" s="8">
        <v>39728</v>
      </c>
      <c r="B100">
        <v>0.74380000000000002</v>
      </c>
    </row>
    <row r="101" spans="1:2" x14ac:dyDescent="0.25">
      <c r="A101" s="8">
        <v>39729</v>
      </c>
      <c r="B101">
        <v>0.72040000000000004</v>
      </c>
    </row>
    <row r="102" spans="1:2" x14ac:dyDescent="0.25">
      <c r="A102" s="8">
        <v>39730</v>
      </c>
      <c r="B102">
        <v>0.68710000000000004</v>
      </c>
    </row>
    <row r="103" spans="1:2" x14ac:dyDescent="0.25">
      <c r="A103" s="8">
        <v>39731</v>
      </c>
      <c r="B103">
        <v>0.69079999999999997</v>
      </c>
    </row>
    <row r="104" spans="1:2" x14ac:dyDescent="0.25">
      <c r="A104" s="8">
        <v>39732</v>
      </c>
      <c r="B104">
        <v>0.66269999999999996</v>
      </c>
    </row>
    <row r="105" spans="1:2" x14ac:dyDescent="0.25">
      <c r="A105" s="8">
        <v>39733</v>
      </c>
      <c r="B105">
        <v>0.64329999999999998</v>
      </c>
    </row>
    <row r="106" spans="1:2" x14ac:dyDescent="0.25">
      <c r="A106" s="8">
        <v>39734</v>
      </c>
      <c r="B106">
        <v>0.64480000000000004</v>
      </c>
    </row>
    <row r="107" spans="1:2" x14ac:dyDescent="0.25">
      <c r="A107" s="8">
        <v>39735</v>
      </c>
      <c r="B107">
        <v>0.67320000000000002</v>
      </c>
    </row>
    <row r="108" spans="1:2" x14ac:dyDescent="0.25">
      <c r="A108" s="12">
        <v>39736</v>
      </c>
      <c r="B108" s="13">
        <v>0.70709999999999995</v>
      </c>
    </row>
    <row r="109" spans="1:2" x14ac:dyDescent="0.25">
      <c r="A109" s="9">
        <v>39737</v>
      </c>
      <c r="B109" s="10">
        <v>0.69289999999999996</v>
      </c>
    </row>
    <row r="110" spans="1:2" x14ac:dyDescent="0.25">
      <c r="A110" s="8">
        <v>39738</v>
      </c>
      <c r="B110">
        <v>0.66890000000000005</v>
      </c>
    </row>
    <row r="111" spans="1:2" x14ac:dyDescent="0.25">
      <c r="A111" s="8">
        <v>39739</v>
      </c>
      <c r="B111">
        <v>0.68799999999999994</v>
      </c>
    </row>
    <row r="112" spans="1:2" x14ac:dyDescent="0.25">
      <c r="A112" s="8">
        <v>39740</v>
      </c>
      <c r="B112">
        <v>0.68889999999999996</v>
      </c>
    </row>
    <row r="113" spans="1:2" x14ac:dyDescent="0.25">
      <c r="A113" s="8">
        <v>39741</v>
      </c>
      <c r="B113">
        <v>0.6895</v>
      </c>
    </row>
    <row r="114" spans="1:2" x14ac:dyDescent="0.25">
      <c r="A114" s="8">
        <v>39742</v>
      </c>
      <c r="B114">
        <v>0.69720000000000004</v>
      </c>
    </row>
    <row r="115" spans="1:2" x14ac:dyDescent="0.25">
      <c r="A115" s="8">
        <v>39743</v>
      </c>
      <c r="B115">
        <v>0.69159999999999999</v>
      </c>
    </row>
    <row r="116" spans="1:2" x14ac:dyDescent="0.25">
      <c r="A116" s="8">
        <v>39744</v>
      </c>
      <c r="B116">
        <v>0.6734</v>
      </c>
    </row>
    <row r="117" spans="1:2" x14ac:dyDescent="0.25">
      <c r="A117" s="8">
        <v>39745</v>
      </c>
      <c r="B117">
        <v>0.66479999999999995</v>
      </c>
    </row>
    <row r="118" spans="1:2" x14ac:dyDescent="0.25">
      <c r="A118" s="8">
        <v>39746</v>
      </c>
      <c r="B118">
        <v>0.62519999999999998</v>
      </c>
    </row>
    <row r="119" spans="1:2" x14ac:dyDescent="0.25">
      <c r="A119" s="8">
        <v>39747</v>
      </c>
      <c r="B119">
        <v>0.61970000000000003</v>
      </c>
    </row>
    <row r="120" spans="1:2" x14ac:dyDescent="0.25">
      <c r="A120" s="8">
        <v>39748</v>
      </c>
      <c r="B120">
        <v>0.62229999999999996</v>
      </c>
    </row>
    <row r="121" spans="1:2" x14ac:dyDescent="0.25">
      <c r="A121" s="8">
        <v>39749</v>
      </c>
      <c r="B121">
        <v>0.61240000000000006</v>
      </c>
    </row>
    <row r="122" spans="1:2" x14ac:dyDescent="0.25">
      <c r="A122" s="8">
        <v>39750</v>
      </c>
      <c r="B122">
        <v>0.61660000000000004</v>
      </c>
    </row>
    <row r="123" spans="1:2" x14ac:dyDescent="0.25">
      <c r="A123" s="8">
        <v>39751</v>
      </c>
      <c r="B123">
        <v>0.65</v>
      </c>
    </row>
    <row r="124" spans="1:2" x14ac:dyDescent="0.25">
      <c r="A124" s="8">
        <v>39752</v>
      </c>
      <c r="B124">
        <v>0.67749999999999999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500"/>
  <sheetViews>
    <sheetView workbookViewId="0">
      <selection activeCell="C5" sqref="C5"/>
    </sheetView>
  </sheetViews>
  <sheetFormatPr defaultColWidth="9" defaultRowHeight="15" x14ac:dyDescent="0.25"/>
  <cols>
    <col min="1" max="1" width="16.88671875" style="1" bestFit="1" customWidth="1"/>
    <col min="2" max="2" width="14.88671875" style="1" bestFit="1" customWidth="1"/>
    <col min="3" max="3" width="20.44140625" style="1" bestFit="1" customWidth="1"/>
    <col min="4" max="4" width="10.77734375" style="1" bestFit="1" customWidth="1"/>
    <col min="5" max="6" width="9" style="1"/>
    <col min="7" max="7" width="11.109375" style="1" bestFit="1" customWidth="1"/>
    <col min="8" max="8" width="9.44140625" style="1" bestFit="1" customWidth="1"/>
    <col min="9" max="16384" width="9" style="1"/>
  </cols>
  <sheetData>
    <row r="1" spans="1:3" x14ac:dyDescent="0.25">
      <c r="A1" s="1" t="s">
        <v>9</v>
      </c>
      <c r="B1" s="1" t="s">
        <v>0</v>
      </c>
      <c r="C1" s="1" t="s">
        <v>1</v>
      </c>
    </row>
    <row r="2" spans="1:3" x14ac:dyDescent="0.25">
      <c r="A2" s="1">
        <f>COUNT(C:C)</f>
        <v>51</v>
      </c>
      <c r="B2" s="1">
        <v>2008</v>
      </c>
      <c r="C2" s="2">
        <v>39448</v>
      </c>
    </row>
    <row r="3" spans="1:3" x14ac:dyDescent="0.25">
      <c r="C3" s="2">
        <v>39485</v>
      </c>
    </row>
    <row r="4" spans="1:3" x14ac:dyDescent="0.25">
      <c r="C4" s="2">
        <v>39486</v>
      </c>
    </row>
    <row r="5" spans="1:3" x14ac:dyDescent="0.25">
      <c r="C5" s="2">
        <v>39487</v>
      </c>
    </row>
    <row r="6" spans="1:3" x14ac:dyDescent="0.25">
      <c r="C6" s="2">
        <v>39528</v>
      </c>
    </row>
    <row r="7" spans="1:3" x14ac:dyDescent="0.25">
      <c r="C7" s="2">
        <v>39529</v>
      </c>
    </row>
    <row r="8" spans="1:3" x14ac:dyDescent="0.25">
      <c r="C8" s="2">
        <v>39531</v>
      </c>
    </row>
    <row r="9" spans="1:3" x14ac:dyDescent="0.25">
      <c r="C9" s="2">
        <v>39542</v>
      </c>
    </row>
    <row r="10" spans="1:3" x14ac:dyDescent="0.25">
      <c r="C10" s="2">
        <v>39569</v>
      </c>
    </row>
    <row r="11" spans="1:3" x14ac:dyDescent="0.25">
      <c r="C11" s="2">
        <v>39580</v>
      </c>
    </row>
    <row r="12" spans="1:3" x14ac:dyDescent="0.25">
      <c r="C12" s="2">
        <v>39608</v>
      </c>
    </row>
    <row r="13" spans="1:3" x14ac:dyDescent="0.25">
      <c r="C13" s="2">
        <v>39630</v>
      </c>
    </row>
    <row r="14" spans="1:3" x14ac:dyDescent="0.25">
      <c r="C14" s="2">
        <v>39706</v>
      </c>
    </row>
    <row r="15" spans="1:3" x14ac:dyDescent="0.25">
      <c r="C15" s="2">
        <v>39722</v>
      </c>
    </row>
    <row r="16" spans="1:3" x14ac:dyDescent="0.25">
      <c r="C16" s="2">
        <v>39728</v>
      </c>
    </row>
    <row r="17" spans="2:3" x14ac:dyDescent="0.25">
      <c r="C17" s="2">
        <v>39807</v>
      </c>
    </row>
    <row r="18" spans="2:3" x14ac:dyDescent="0.25">
      <c r="C18" s="2">
        <v>39808</v>
      </c>
    </row>
    <row r="19" spans="2:3" x14ac:dyDescent="0.25">
      <c r="B19" s="1">
        <v>2009</v>
      </c>
      <c r="C19" s="2">
        <v>39814</v>
      </c>
    </row>
    <row r="20" spans="2:3" x14ac:dyDescent="0.25">
      <c r="C20" s="2">
        <v>39839</v>
      </c>
    </row>
    <row r="21" spans="2:3" x14ac:dyDescent="0.25">
      <c r="C21" s="2">
        <v>39840</v>
      </c>
    </row>
    <row r="22" spans="2:3" x14ac:dyDescent="0.25">
      <c r="C22" s="2">
        <v>39841</v>
      </c>
    </row>
    <row r="23" spans="2:3" x14ac:dyDescent="0.25">
      <c r="C23" s="2">
        <v>39907</v>
      </c>
    </row>
    <row r="24" spans="2:3" x14ac:dyDescent="0.25">
      <c r="C24" s="2">
        <v>39913</v>
      </c>
    </row>
    <row r="25" spans="2:3" x14ac:dyDescent="0.25">
      <c r="C25" s="2">
        <v>39914</v>
      </c>
    </row>
    <row r="26" spans="2:3" x14ac:dyDescent="0.25">
      <c r="C26" s="2">
        <v>39916</v>
      </c>
    </row>
    <row r="27" spans="2:3" x14ac:dyDescent="0.25">
      <c r="C27" s="2">
        <v>39934</v>
      </c>
    </row>
    <row r="28" spans="2:3" x14ac:dyDescent="0.25">
      <c r="C28" s="2">
        <v>39935</v>
      </c>
    </row>
    <row r="29" spans="2:3" x14ac:dyDescent="0.25">
      <c r="C29" s="2">
        <v>39961</v>
      </c>
    </row>
    <row r="30" spans="2:3" x14ac:dyDescent="0.25">
      <c r="C30" s="2">
        <v>39995</v>
      </c>
    </row>
    <row r="31" spans="2:3" x14ac:dyDescent="0.25">
      <c r="C31" s="2">
        <v>40087</v>
      </c>
    </row>
    <row r="32" spans="2:3" x14ac:dyDescent="0.25">
      <c r="C32" s="2">
        <v>40089</v>
      </c>
    </row>
    <row r="33" spans="2:3" x14ac:dyDescent="0.25">
      <c r="C33" s="2">
        <v>40112</v>
      </c>
    </row>
    <row r="34" spans="2:3" x14ac:dyDescent="0.25">
      <c r="C34" s="2">
        <v>40172</v>
      </c>
    </row>
    <row r="35" spans="2:3" x14ac:dyDescent="0.25">
      <c r="C35" s="2">
        <v>40173</v>
      </c>
    </row>
    <row r="36" spans="2:3" x14ac:dyDescent="0.25">
      <c r="B36" s="1">
        <v>2010</v>
      </c>
      <c r="C36" s="2">
        <v>40179</v>
      </c>
    </row>
    <row r="37" spans="2:3" x14ac:dyDescent="0.25">
      <c r="C37" s="2">
        <v>40222</v>
      </c>
    </row>
    <row r="38" spans="2:3" x14ac:dyDescent="0.25">
      <c r="C38" s="2">
        <v>40224</v>
      </c>
    </row>
    <row r="39" spans="2:3" x14ac:dyDescent="0.25">
      <c r="C39" s="2">
        <v>40225</v>
      </c>
    </row>
    <row r="40" spans="2:3" x14ac:dyDescent="0.25">
      <c r="C40" s="2">
        <v>40270</v>
      </c>
    </row>
    <row r="41" spans="2:3" x14ac:dyDescent="0.25">
      <c r="C41" s="2">
        <v>40271</v>
      </c>
    </row>
    <row r="42" spans="2:3" x14ac:dyDescent="0.25">
      <c r="C42" s="2">
        <v>40273</v>
      </c>
    </row>
    <row r="43" spans="2:3" x14ac:dyDescent="0.25">
      <c r="C43" s="2">
        <v>40274</v>
      </c>
    </row>
    <row r="44" spans="2:3" x14ac:dyDescent="0.25">
      <c r="C44" s="2">
        <v>40299</v>
      </c>
    </row>
    <row r="45" spans="2:3" x14ac:dyDescent="0.25">
      <c r="C45" s="2">
        <v>40319</v>
      </c>
    </row>
    <row r="46" spans="2:3" x14ac:dyDescent="0.25">
      <c r="C46" s="2">
        <v>40345</v>
      </c>
    </row>
    <row r="47" spans="2:3" x14ac:dyDescent="0.25">
      <c r="C47" s="2">
        <v>40360</v>
      </c>
    </row>
    <row r="48" spans="2:3" x14ac:dyDescent="0.25">
      <c r="C48" s="2">
        <v>40444</v>
      </c>
    </row>
    <row r="49" spans="3:3" x14ac:dyDescent="0.25">
      <c r="C49" s="2">
        <v>40452</v>
      </c>
    </row>
    <row r="50" spans="3:3" x14ac:dyDescent="0.25">
      <c r="C50" s="2">
        <v>40467</v>
      </c>
    </row>
    <row r="51" spans="3:3" x14ac:dyDescent="0.25">
      <c r="C51" s="2">
        <v>40537</v>
      </c>
    </row>
    <row r="52" spans="3:3" x14ac:dyDescent="0.25">
      <c r="C52" s="2">
        <v>40538</v>
      </c>
    </row>
    <row r="53" spans="3:3" x14ac:dyDescent="0.25">
      <c r="C53" s="2"/>
    </row>
    <row r="54" spans="3:3" x14ac:dyDescent="0.25">
      <c r="C54" s="2"/>
    </row>
    <row r="55" spans="3:3" x14ac:dyDescent="0.25">
      <c r="C55" s="2"/>
    </row>
    <row r="56" spans="3:3" x14ac:dyDescent="0.25">
      <c r="C56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2" spans="3:3" x14ac:dyDescent="0.25">
      <c r="C62" s="2"/>
    </row>
    <row r="63" spans="3:3" x14ac:dyDescent="0.25">
      <c r="C63" s="2"/>
    </row>
    <row r="64" spans="3:3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  <row r="101" spans="3:3" x14ac:dyDescent="0.25">
      <c r="C101" s="2"/>
    </row>
    <row r="102" spans="3:3" x14ac:dyDescent="0.25">
      <c r="C102" s="2"/>
    </row>
    <row r="103" spans="3:3" x14ac:dyDescent="0.25">
      <c r="C103" s="2"/>
    </row>
    <row r="104" spans="3:3" x14ac:dyDescent="0.25">
      <c r="C104" s="2"/>
    </row>
    <row r="105" spans="3:3" x14ac:dyDescent="0.25">
      <c r="C105" s="2"/>
    </row>
    <row r="106" spans="3:3" x14ac:dyDescent="0.25">
      <c r="C106" s="2"/>
    </row>
    <row r="107" spans="3:3" x14ac:dyDescent="0.25">
      <c r="C107" s="2"/>
    </row>
    <row r="108" spans="3:3" x14ac:dyDescent="0.25">
      <c r="C108" s="2"/>
    </row>
    <row r="109" spans="3:3" x14ac:dyDescent="0.25">
      <c r="C109" s="2"/>
    </row>
    <row r="110" spans="3:3" x14ac:dyDescent="0.25">
      <c r="C110" s="2"/>
    </row>
    <row r="111" spans="3:3" x14ac:dyDescent="0.25">
      <c r="C111" s="2"/>
    </row>
    <row r="112" spans="3:3" x14ac:dyDescent="0.25">
      <c r="C112" s="2"/>
    </row>
    <row r="113" spans="3:3" x14ac:dyDescent="0.25">
      <c r="C113" s="2"/>
    </row>
    <row r="114" spans="3:3" x14ac:dyDescent="0.25">
      <c r="C114" s="2"/>
    </row>
    <row r="115" spans="3:3" x14ac:dyDescent="0.25">
      <c r="C115" s="2"/>
    </row>
    <row r="116" spans="3:3" x14ac:dyDescent="0.25">
      <c r="C116" s="2"/>
    </row>
    <row r="117" spans="3:3" x14ac:dyDescent="0.25">
      <c r="C117" s="2"/>
    </row>
    <row r="118" spans="3:3" x14ac:dyDescent="0.25">
      <c r="C118" s="2"/>
    </row>
    <row r="119" spans="3:3" x14ac:dyDescent="0.25">
      <c r="C119" s="2"/>
    </row>
    <row r="120" spans="3:3" x14ac:dyDescent="0.25">
      <c r="C120" s="2"/>
    </row>
    <row r="121" spans="3:3" x14ac:dyDescent="0.25">
      <c r="C121" s="2"/>
    </row>
    <row r="122" spans="3:3" x14ac:dyDescent="0.25">
      <c r="C122" s="2"/>
    </row>
    <row r="123" spans="3:3" x14ac:dyDescent="0.25">
      <c r="C123" s="2"/>
    </row>
    <row r="124" spans="3:3" x14ac:dyDescent="0.25">
      <c r="C124" s="2"/>
    </row>
    <row r="125" spans="3:3" x14ac:dyDescent="0.25">
      <c r="C125" s="2"/>
    </row>
    <row r="126" spans="3:3" x14ac:dyDescent="0.25">
      <c r="C126" s="2"/>
    </row>
    <row r="127" spans="3:3" x14ac:dyDescent="0.25">
      <c r="C127" s="2"/>
    </row>
    <row r="128" spans="3:3" x14ac:dyDescent="0.25">
      <c r="C128" s="2"/>
    </row>
    <row r="129" spans="3:3" x14ac:dyDescent="0.25">
      <c r="C129" s="2"/>
    </row>
    <row r="130" spans="3:3" x14ac:dyDescent="0.25">
      <c r="C130" s="2"/>
    </row>
    <row r="131" spans="3:3" x14ac:dyDescent="0.25">
      <c r="C131" s="2"/>
    </row>
    <row r="132" spans="3:3" x14ac:dyDescent="0.25">
      <c r="C132" s="2"/>
    </row>
    <row r="133" spans="3:3" x14ac:dyDescent="0.25">
      <c r="C133" s="2"/>
    </row>
    <row r="134" spans="3:3" x14ac:dyDescent="0.25">
      <c r="C134" s="2"/>
    </row>
    <row r="135" spans="3:3" x14ac:dyDescent="0.25">
      <c r="C135" s="2"/>
    </row>
    <row r="136" spans="3:3" x14ac:dyDescent="0.25">
      <c r="C136" s="2"/>
    </row>
    <row r="137" spans="3:3" x14ac:dyDescent="0.25">
      <c r="C137" s="2"/>
    </row>
    <row r="138" spans="3:3" x14ac:dyDescent="0.25">
      <c r="C138" s="2"/>
    </row>
    <row r="139" spans="3:3" x14ac:dyDescent="0.25">
      <c r="C139" s="2"/>
    </row>
    <row r="140" spans="3:3" x14ac:dyDescent="0.25">
      <c r="C140" s="2"/>
    </row>
    <row r="141" spans="3:3" x14ac:dyDescent="0.25">
      <c r="C141" s="2"/>
    </row>
    <row r="142" spans="3:3" x14ac:dyDescent="0.25">
      <c r="C142" s="2"/>
    </row>
    <row r="143" spans="3:3" x14ac:dyDescent="0.25">
      <c r="C143" s="2"/>
    </row>
    <row r="144" spans="3:3" x14ac:dyDescent="0.25">
      <c r="C144" s="2"/>
    </row>
    <row r="145" spans="3:3" x14ac:dyDescent="0.25">
      <c r="C145" s="2"/>
    </row>
    <row r="146" spans="3:3" x14ac:dyDescent="0.25">
      <c r="C146" s="2"/>
    </row>
    <row r="147" spans="3:3" x14ac:dyDescent="0.25">
      <c r="C147" s="2"/>
    </row>
    <row r="148" spans="3:3" x14ac:dyDescent="0.25">
      <c r="C148" s="2"/>
    </row>
    <row r="149" spans="3:3" x14ac:dyDescent="0.25">
      <c r="C149" s="2"/>
    </row>
    <row r="150" spans="3:3" x14ac:dyDescent="0.25">
      <c r="C150" s="2"/>
    </row>
    <row r="151" spans="3:3" x14ac:dyDescent="0.25">
      <c r="C151" s="2"/>
    </row>
    <row r="152" spans="3:3" x14ac:dyDescent="0.25">
      <c r="C152" s="2"/>
    </row>
    <row r="153" spans="3:3" x14ac:dyDescent="0.25">
      <c r="C153" s="2"/>
    </row>
    <row r="154" spans="3:3" x14ac:dyDescent="0.25">
      <c r="C154" s="2"/>
    </row>
    <row r="155" spans="3:3" x14ac:dyDescent="0.25">
      <c r="C155" s="2"/>
    </row>
    <row r="156" spans="3:3" x14ac:dyDescent="0.25">
      <c r="C156" s="2"/>
    </row>
    <row r="157" spans="3:3" x14ac:dyDescent="0.25">
      <c r="C157" s="2"/>
    </row>
    <row r="158" spans="3:3" x14ac:dyDescent="0.25">
      <c r="C158" s="2"/>
    </row>
    <row r="159" spans="3:3" x14ac:dyDescent="0.25">
      <c r="C159" s="2"/>
    </row>
    <row r="160" spans="3:3" x14ac:dyDescent="0.25">
      <c r="C160" s="2"/>
    </row>
    <row r="161" spans="3:3" x14ac:dyDescent="0.25">
      <c r="C161" s="2"/>
    </row>
    <row r="162" spans="3:3" x14ac:dyDescent="0.25">
      <c r="C162" s="2"/>
    </row>
    <row r="163" spans="3:3" x14ac:dyDescent="0.25">
      <c r="C163" s="2"/>
    </row>
    <row r="164" spans="3:3" x14ac:dyDescent="0.25">
      <c r="C164" s="2"/>
    </row>
    <row r="165" spans="3:3" x14ac:dyDescent="0.25">
      <c r="C165" s="2"/>
    </row>
    <row r="166" spans="3:3" x14ac:dyDescent="0.25">
      <c r="C166" s="2"/>
    </row>
    <row r="167" spans="3:3" x14ac:dyDescent="0.25">
      <c r="C167" s="2"/>
    </row>
    <row r="168" spans="3:3" x14ac:dyDescent="0.25">
      <c r="C168" s="2"/>
    </row>
    <row r="169" spans="3:3" x14ac:dyDescent="0.25">
      <c r="C169" s="2"/>
    </row>
    <row r="170" spans="3:3" x14ac:dyDescent="0.25">
      <c r="C170" s="2"/>
    </row>
    <row r="171" spans="3:3" x14ac:dyDescent="0.25">
      <c r="C171" s="2"/>
    </row>
    <row r="172" spans="3:3" x14ac:dyDescent="0.25">
      <c r="C172" s="2"/>
    </row>
    <row r="173" spans="3:3" x14ac:dyDescent="0.25">
      <c r="C173" s="2"/>
    </row>
    <row r="174" spans="3:3" x14ac:dyDescent="0.25">
      <c r="C174" s="2"/>
    </row>
    <row r="175" spans="3:3" x14ac:dyDescent="0.25">
      <c r="C175" s="2"/>
    </row>
    <row r="176" spans="3: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  <row r="193" spans="3:3" x14ac:dyDescent="0.25">
      <c r="C193" s="2"/>
    </row>
    <row r="194" spans="3:3" x14ac:dyDescent="0.25">
      <c r="C194" s="2"/>
    </row>
    <row r="195" spans="3:3" x14ac:dyDescent="0.25">
      <c r="C195" s="2"/>
    </row>
    <row r="196" spans="3:3" x14ac:dyDescent="0.25">
      <c r="C196" s="2"/>
    </row>
    <row r="197" spans="3:3" x14ac:dyDescent="0.25">
      <c r="C197" s="2"/>
    </row>
    <row r="198" spans="3:3" x14ac:dyDescent="0.25">
      <c r="C198" s="2"/>
    </row>
    <row r="199" spans="3:3" x14ac:dyDescent="0.25">
      <c r="C199" s="2"/>
    </row>
    <row r="200" spans="3:3" x14ac:dyDescent="0.25">
      <c r="C200" s="2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3" x14ac:dyDescent="0.25">
      <c r="C209" s="7"/>
    </row>
    <row r="210" spans="3:3" x14ac:dyDescent="0.25">
      <c r="C210" s="7"/>
    </row>
    <row r="211" spans="3:3" x14ac:dyDescent="0.25">
      <c r="C211" s="7"/>
    </row>
    <row r="212" spans="3:3" x14ac:dyDescent="0.25">
      <c r="C212" s="7"/>
    </row>
    <row r="213" spans="3:3" x14ac:dyDescent="0.25">
      <c r="C213" s="7"/>
    </row>
    <row r="214" spans="3:3" x14ac:dyDescent="0.25">
      <c r="C214" s="7"/>
    </row>
    <row r="215" spans="3:3" x14ac:dyDescent="0.25">
      <c r="C215" s="7"/>
    </row>
    <row r="216" spans="3:3" x14ac:dyDescent="0.25">
      <c r="C216" s="7"/>
    </row>
    <row r="217" spans="3:3" x14ac:dyDescent="0.25">
      <c r="C217" s="7"/>
    </row>
    <row r="218" spans="3:3" x14ac:dyDescent="0.25">
      <c r="C218" s="7"/>
    </row>
    <row r="219" spans="3:3" x14ac:dyDescent="0.25">
      <c r="C219" s="7"/>
    </row>
    <row r="220" spans="3:3" x14ac:dyDescent="0.25">
      <c r="C220" s="7"/>
    </row>
    <row r="221" spans="3:3" x14ac:dyDescent="0.25">
      <c r="C221" s="7"/>
    </row>
    <row r="222" spans="3:3" x14ac:dyDescent="0.25">
      <c r="C222" s="7"/>
    </row>
    <row r="223" spans="3:3" x14ac:dyDescent="0.25">
      <c r="C223" s="7"/>
    </row>
    <row r="224" spans="3:3" x14ac:dyDescent="0.25">
      <c r="C224" s="7"/>
    </row>
    <row r="225" spans="3:3" x14ac:dyDescent="0.25">
      <c r="C225" s="7"/>
    </row>
    <row r="226" spans="3:3" x14ac:dyDescent="0.25">
      <c r="C226" s="7"/>
    </row>
    <row r="227" spans="3:3" x14ac:dyDescent="0.25">
      <c r="C227" s="7"/>
    </row>
    <row r="228" spans="3:3" x14ac:dyDescent="0.25">
      <c r="C228" s="7"/>
    </row>
    <row r="229" spans="3:3" x14ac:dyDescent="0.25">
      <c r="C229" s="7"/>
    </row>
    <row r="230" spans="3:3" x14ac:dyDescent="0.25">
      <c r="C230" s="7"/>
    </row>
    <row r="231" spans="3:3" x14ac:dyDescent="0.25">
      <c r="C231" s="7"/>
    </row>
    <row r="232" spans="3:3" x14ac:dyDescent="0.25">
      <c r="C232" s="7"/>
    </row>
    <row r="233" spans="3:3" x14ac:dyDescent="0.25">
      <c r="C233" s="7"/>
    </row>
    <row r="234" spans="3:3" x14ac:dyDescent="0.25">
      <c r="C234" s="7"/>
    </row>
    <row r="235" spans="3:3" x14ac:dyDescent="0.25">
      <c r="C235" s="7"/>
    </row>
    <row r="236" spans="3:3" x14ac:dyDescent="0.25">
      <c r="C236" s="7"/>
    </row>
    <row r="237" spans="3:3" x14ac:dyDescent="0.25">
      <c r="C237" s="7"/>
    </row>
    <row r="238" spans="3:3" x14ac:dyDescent="0.25">
      <c r="C238" s="7"/>
    </row>
    <row r="239" spans="3:3" x14ac:dyDescent="0.25">
      <c r="C239" s="7"/>
    </row>
    <row r="240" spans="3:3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3" x14ac:dyDescent="0.25">
      <c r="C257" s="7"/>
    </row>
    <row r="258" spans="3:3" x14ac:dyDescent="0.25">
      <c r="C258" s="7"/>
    </row>
    <row r="259" spans="3:3" x14ac:dyDescent="0.25">
      <c r="C259" s="7"/>
    </row>
    <row r="260" spans="3:3" x14ac:dyDescent="0.25">
      <c r="C260" s="7"/>
    </row>
    <row r="261" spans="3:3" x14ac:dyDescent="0.25">
      <c r="C261" s="7"/>
    </row>
    <row r="262" spans="3:3" x14ac:dyDescent="0.25">
      <c r="C262" s="7"/>
    </row>
    <row r="263" spans="3:3" x14ac:dyDescent="0.25">
      <c r="C263" s="7"/>
    </row>
    <row r="264" spans="3:3" x14ac:dyDescent="0.25">
      <c r="C264" s="7"/>
    </row>
    <row r="265" spans="3:3" x14ac:dyDescent="0.25">
      <c r="C265" s="7"/>
    </row>
    <row r="266" spans="3:3" x14ac:dyDescent="0.25">
      <c r="C266" s="7"/>
    </row>
    <row r="267" spans="3:3" x14ac:dyDescent="0.25">
      <c r="C267" s="7"/>
    </row>
    <row r="268" spans="3:3" x14ac:dyDescent="0.25">
      <c r="C268" s="7"/>
    </row>
    <row r="269" spans="3:3" x14ac:dyDescent="0.25">
      <c r="C269" s="7"/>
    </row>
    <row r="270" spans="3:3" x14ac:dyDescent="0.25">
      <c r="C270" s="7"/>
    </row>
    <row r="271" spans="3:3" x14ac:dyDescent="0.25">
      <c r="C271" s="7"/>
    </row>
    <row r="272" spans="3:3" x14ac:dyDescent="0.25">
      <c r="C272" s="7"/>
    </row>
    <row r="273" spans="3:3" x14ac:dyDescent="0.25">
      <c r="C273" s="7"/>
    </row>
    <row r="274" spans="3:3" x14ac:dyDescent="0.25">
      <c r="C274" s="7"/>
    </row>
    <row r="275" spans="3:3" x14ac:dyDescent="0.25">
      <c r="C275" s="7"/>
    </row>
    <row r="276" spans="3:3" x14ac:dyDescent="0.25">
      <c r="C276" s="7"/>
    </row>
    <row r="277" spans="3:3" x14ac:dyDescent="0.25">
      <c r="C277" s="7"/>
    </row>
    <row r="278" spans="3:3" x14ac:dyDescent="0.25">
      <c r="C278" s="7"/>
    </row>
    <row r="279" spans="3:3" x14ac:dyDescent="0.25">
      <c r="C279" s="7"/>
    </row>
    <row r="280" spans="3:3" x14ac:dyDescent="0.25">
      <c r="C280" s="7"/>
    </row>
    <row r="281" spans="3:3" x14ac:dyDescent="0.25">
      <c r="C281" s="7"/>
    </row>
    <row r="282" spans="3:3" x14ac:dyDescent="0.25">
      <c r="C282" s="7"/>
    </row>
    <row r="283" spans="3:3" x14ac:dyDescent="0.25">
      <c r="C283" s="7"/>
    </row>
    <row r="284" spans="3:3" x14ac:dyDescent="0.25">
      <c r="C284" s="7"/>
    </row>
    <row r="285" spans="3:3" x14ac:dyDescent="0.25">
      <c r="C285" s="7"/>
    </row>
    <row r="286" spans="3:3" x14ac:dyDescent="0.25">
      <c r="C286" s="7"/>
    </row>
    <row r="287" spans="3:3" x14ac:dyDescent="0.25">
      <c r="C287" s="7"/>
    </row>
    <row r="288" spans="3:3" x14ac:dyDescent="0.25">
      <c r="C288" s="7"/>
    </row>
    <row r="289" spans="3:3" x14ac:dyDescent="0.25">
      <c r="C289" s="7"/>
    </row>
    <row r="290" spans="3:3" x14ac:dyDescent="0.25">
      <c r="C290" s="7"/>
    </row>
    <row r="291" spans="3:3" x14ac:dyDescent="0.25">
      <c r="C291" s="7"/>
    </row>
    <row r="292" spans="3:3" x14ac:dyDescent="0.25">
      <c r="C292" s="7"/>
    </row>
    <row r="293" spans="3:3" x14ac:dyDescent="0.25">
      <c r="C293" s="7"/>
    </row>
    <row r="294" spans="3:3" x14ac:dyDescent="0.25">
      <c r="C294" s="7"/>
    </row>
    <row r="295" spans="3:3" x14ac:dyDescent="0.25">
      <c r="C295" s="7"/>
    </row>
    <row r="296" spans="3:3" x14ac:dyDescent="0.25">
      <c r="C296" s="7"/>
    </row>
    <row r="297" spans="3:3" x14ac:dyDescent="0.25">
      <c r="C297" s="7"/>
    </row>
    <row r="298" spans="3:3" x14ac:dyDescent="0.25">
      <c r="C298" s="7"/>
    </row>
    <row r="299" spans="3:3" x14ac:dyDescent="0.25">
      <c r="C299" s="7"/>
    </row>
    <row r="300" spans="3:3" x14ac:dyDescent="0.25">
      <c r="C300" s="7"/>
    </row>
    <row r="301" spans="3:3" x14ac:dyDescent="0.25">
      <c r="C301" s="7"/>
    </row>
    <row r="302" spans="3:3" x14ac:dyDescent="0.25">
      <c r="C302" s="7"/>
    </row>
    <row r="303" spans="3:3" x14ac:dyDescent="0.25">
      <c r="C303" s="7"/>
    </row>
    <row r="304" spans="3:3" x14ac:dyDescent="0.25">
      <c r="C304" s="7"/>
    </row>
    <row r="305" spans="3:3" x14ac:dyDescent="0.25">
      <c r="C305" s="7"/>
    </row>
    <row r="306" spans="3:3" x14ac:dyDescent="0.25">
      <c r="C306" s="7"/>
    </row>
    <row r="307" spans="3:3" x14ac:dyDescent="0.25">
      <c r="C307" s="7"/>
    </row>
    <row r="308" spans="3:3" x14ac:dyDescent="0.25">
      <c r="C308" s="7"/>
    </row>
    <row r="309" spans="3:3" x14ac:dyDescent="0.25">
      <c r="C309" s="7"/>
    </row>
    <row r="310" spans="3:3" x14ac:dyDescent="0.25">
      <c r="C310" s="7"/>
    </row>
    <row r="311" spans="3:3" x14ac:dyDescent="0.25">
      <c r="C311" s="7"/>
    </row>
    <row r="312" spans="3:3" x14ac:dyDescent="0.25">
      <c r="C312" s="7"/>
    </row>
    <row r="313" spans="3:3" x14ac:dyDescent="0.25">
      <c r="C313" s="7"/>
    </row>
    <row r="314" spans="3:3" x14ac:dyDescent="0.25">
      <c r="C314" s="7"/>
    </row>
    <row r="315" spans="3:3" x14ac:dyDescent="0.25">
      <c r="C315" s="7"/>
    </row>
    <row r="316" spans="3:3" x14ac:dyDescent="0.25">
      <c r="C316" s="7"/>
    </row>
    <row r="317" spans="3:3" x14ac:dyDescent="0.25">
      <c r="C317" s="7"/>
    </row>
    <row r="318" spans="3:3" x14ac:dyDescent="0.25">
      <c r="C318" s="7"/>
    </row>
    <row r="319" spans="3:3" x14ac:dyDescent="0.25">
      <c r="C319" s="7"/>
    </row>
    <row r="320" spans="3:3" x14ac:dyDescent="0.25">
      <c r="C320" s="7"/>
    </row>
    <row r="321" spans="3:3" x14ac:dyDescent="0.25">
      <c r="C321" s="7"/>
    </row>
    <row r="322" spans="3:3" x14ac:dyDescent="0.25">
      <c r="C322" s="7"/>
    </row>
    <row r="323" spans="3:3" x14ac:dyDescent="0.25">
      <c r="C323" s="7"/>
    </row>
    <row r="324" spans="3:3" x14ac:dyDescent="0.25">
      <c r="C324" s="7"/>
    </row>
    <row r="325" spans="3:3" x14ac:dyDescent="0.25">
      <c r="C325" s="7"/>
    </row>
    <row r="326" spans="3:3" x14ac:dyDescent="0.25">
      <c r="C326" s="7"/>
    </row>
    <row r="327" spans="3:3" x14ac:dyDescent="0.25">
      <c r="C327" s="7"/>
    </row>
    <row r="328" spans="3:3" x14ac:dyDescent="0.25">
      <c r="C328" s="7"/>
    </row>
    <row r="329" spans="3:3" x14ac:dyDescent="0.25">
      <c r="C329" s="7"/>
    </row>
    <row r="330" spans="3:3" x14ac:dyDescent="0.25">
      <c r="C330" s="7"/>
    </row>
    <row r="331" spans="3:3" x14ac:dyDescent="0.25">
      <c r="C331" s="7"/>
    </row>
    <row r="332" spans="3:3" x14ac:dyDescent="0.25">
      <c r="C332" s="7"/>
    </row>
    <row r="333" spans="3:3" x14ac:dyDescent="0.25">
      <c r="C333" s="7"/>
    </row>
    <row r="334" spans="3:3" x14ac:dyDescent="0.25">
      <c r="C334" s="7"/>
    </row>
    <row r="335" spans="3:3" x14ac:dyDescent="0.25">
      <c r="C335" s="7"/>
    </row>
    <row r="336" spans="3:3" x14ac:dyDescent="0.25">
      <c r="C336" s="7"/>
    </row>
    <row r="337" spans="3:3" x14ac:dyDescent="0.25">
      <c r="C337" s="7"/>
    </row>
    <row r="338" spans="3:3" x14ac:dyDescent="0.25">
      <c r="C338" s="7"/>
    </row>
    <row r="339" spans="3:3" x14ac:dyDescent="0.25">
      <c r="C339" s="7"/>
    </row>
    <row r="340" spans="3:3" x14ac:dyDescent="0.25">
      <c r="C340" s="7"/>
    </row>
    <row r="341" spans="3:3" x14ac:dyDescent="0.25">
      <c r="C341" s="7"/>
    </row>
    <row r="342" spans="3:3" x14ac:dyDescent="0.25">
      <c r="C342" s="7"/>
    </row>
    <row r="343" spans="3:3" x14ac:dyDescent="0.25">
      <c r="C343" s="7"/>
    </row>
    <row r="344" spans="3:3" x14ac:dyDescent="0.25">
      <c r="C344" s="7"/>
    </row>
    <row r="345" spans="3:3" x14ac:dyDescent="0.25">
      <c r="C345" s="7"/>
    </row>
    <row r="346" spans="3:3" x14ac:dyDescent="0.25">
      <c r="C346" s="7"/>
    </row>
    <row r="347" spans="3:3" x14ac:dyDescent="0.25">
      <c r="C347" s="7"/>
    </row>
    <row r="348" spans="3:3" x14ac:dyDescent="0.25">
      <c r="C348" s="7"/>
    </row>
    <row r="349" spans="3:3" x14ac:dyDescent="0.25">
      <c r="C349" s="7"/>
    </row>
    <row r="350" spans="3:3" x14ac:dyDescent="0.25">
      <c r="C350" s="7"/>
    </row>
    <row r="351" spans="3:3" x14ac:dyDescent="0.25">
      <c r="C351" s="7"/>
    </row>
    <row r="352" spans="3:3" x14ac:dyDescent="0.25">
      <c r="C352" s="7"/>
    </row>
    <row r="353" spans="3:3" x14ac:dyDescent="0.25">
      <c r="C353" s="7"/>
    </row>
    <row r="354" spans="3:3" x14ac:dyDescent="0.25">
      <c r="C354" s="7"/>
    </row>
    <row r="355" spans="3:3" x14ac:dyDescent="0.25">
      <c r="C355" s="7"/>
    </row>
    <row r="356" spans="3:3" x14ac:dyDescent="0.25">
      <c r="C356" s="7"/>
    </row>
    <row r="357" spans="3:3" x14ac:dyDescent="0.25">
      <c r="C357" s="7"/>
    </row>
    <row r="358" spans="3:3" x14ac:dyDescent="0.25">
      <c r="C358" s="7"/>
    </row>
    <row r="359" spans="3:3" x14ac:dyDescent="0.25">
      <c r="C359" s="7"/>
    </row>
    <row r="360" spans="3:3" x14ac:dyDescent="0.25">
      <c r="C360" s="7"/>
    </row>
    <row r="361" spans="3:3" x14ac:dyDescent="0.25">
      <c r="C361" s="7"/>
    </row>
    <row r="362" spans="3:3" x14ac:dyDescent="0.25">
      <c r="C362" s="7"/>
    </row>
    <row r="363" spans="3:3" x14ac:dyDescent="0.25">
      <c r="C363" s="7"/>
    </row>
    <row r="364" spans="3:3" x14ac:dyDescent="0.25">
      <c r="C364" s="7"/>
    </row>
    <row r="365" spans="3:3" x14ac:dyDescent="0.25">
      <c r="C365" s="7"/>
    </row>
    <row r="366" spans="3:3" x14ac:dyDescent="0.25">
      <c r="C366" s="7"/>
    </row>
    <row r="367" spans="3:3" x14ac:dyDescent="0.25">
      <c r="C367" s="7"/>
    </row>
    <row r="368" spans="3:3" x14ac:dyDescent="0.25">
      <c r="C368" s="7"/>
    </row>
    <row r="369" spans="3:3" x14ac:dyDescent="0.25">
      <c r="C369" s="7"/>
    </row>
    <row r="370" spans="3:3" x14ac:dyDescent="0.25">
      <c r="C370" s="7"/>
    </row>
    <row r="371" spans="3:3" x14ac:dyDescent="0.25">
      <c r="C371" s="7"/>
    </row>
    <row r="372" spans="3:3" x14ac:dyDescent="0.25">
      <c r="C372" s="7"/>
    </row>
    <row r="373" spans="3:3" x14ac:dyDescent="0.25">
      <c r="C373" s="7"/>
    </row>
    <row r="374" spans="3:3" x14ac:dyDescent="0.25">
      <c r="C374" s="7"/>
    </row>
    <row r="375" spans="3:3" x14ac:dyDescent="0.25">
      <c r="C375" s="7"/>
    </row>
    <row r="376" spans="3:3" x14ac:dyDescent="0.25">
      <c r="C376" s="7"/>
    </row>
    <row r="377" spans="3:3" x14ac:dyDescent="0.25">
      <c r="C377" s="7"/>
    </row>
    <row r="378" spans="3:3" x14ac:dyDescent="0.25">
      <c r="C378" s="7"/>
    </row>
    <row r="379" spans="3:3" x14ac:dyDescent="0.25">
      <c r="C379" s="7"/>
    </row>
    <row r="380" spans="3:3" x14ac:dyDescent="0.25">
      <c r="C380" s="7"/>
    </row>
    <row r="381" spans="3:3" x14ac:dyDescent="0.25">
      <c r="C381" s="7"/>
    </row>
    <row r="382" spans="3:3" x14ac:dyDescent="0.25">
      <c r="C382" s="7"/>
    </row>
    <row r="383" spans="3:3" x14ac:dyDescent="0.25">
      <c r="C383" s="7"/>
    </row>
    <row r="384" spans="3:3" x14ac:dyDescent="0.25">
      <c r="C384" s="7"/>
    </row>
    <row r="385" spans="3:3" x14ac:dyDescent="0.25">
      <c r="C385" s="7"/>
    </row>
    <row r="386" spans="3:3" x14ac:dyDescent="0.25">
      <c r="C386" s="7"/>
    </row>
    <row r="387" spans="3:3" x14ac:dyDescent="0.25">
      <c r="C387" s="7"/>
    </row>
    <row r="388" spans="3:3" x14ac:dyDescent="0.25">
      <c r="C388" s="7"/>
    </row>
    <row r="389" spans="3:3" x14ac:dyDescent="0.25">
      <c r="C389" s="7"/>
    </row>
    <row r="390" spans="3:3" x14ac:dyDescent="0.25">
      <c r="C390" s="7"/>
    </row>
    <row r="391" spans="3:3" x14ac:dyDescent="0.25">
      <c r="C391" s="7"/>
    </row>
    <row r="392" spans="3:3" x14ac:dyDescent="0.25">
      <c r="C392" s="7"/>
    </row>
    <row r="393" spans="3:3" x14ac:dyDescent="0.25">
      <c r="C393" s="7"/>
    </row>
    <row r="394" spans="3:3" x14ac:dyDescent="0.25">
      <c r="C394" s="7"/>
    </row>
    <row r="395" spans="3:3" x14ac:dyDescent="0.25">
      <c r="C395" s="7"/>
    </row>
    <row r="396" spans="3:3" x14ac:dyDescent="0.25">
      <c r="C396" s="7"/>
    </row>
    <row r="397" spans="3:3" x14ac:dyDescent="0.25">
      <c r="C397" s="7"/>
    </row>
    <row r="398" spans="3:3" x14ac:dyDescent="0.25">
      <c r="C398" s="7"/>
    </row>
    <row r="399" spans="3:3" x14ac:dyDescent="0.25">
      <c r="C399" s="7"/>
    </row>
    <row r="400" spans="3:3" x14ac:dyDescent="0.25">
      <c r="C400" s="7"/>
    </row>
    <row r="401" spans="3:3" x14ac:dyDescent="0.25">
      <c r="C401" s="7"/>
    </row>
    <row r="402" spans="3:3" x14ac:dyDescent="0.25">
      <c r="C402" s="7"/>
    </row>
    <row r="403" spans="3:3" x14ac:dyDescent="0.25">
      <c r="C403" s="7"/>
    </row>
    <row r="404" spans="3:3" x14ac:dyDescent="0.25">
      <c r="C404" s="7"/>
    </row>
    <row r="405" spans="3:3" x14ac:dyDescent="0.25">
      <c r="C405" s="7"/>
    </row>
    <row r="406" spans="3:3" x14ac:dyDescent="0.25">
      <c r="C406" s="7"/>
    </row>
    <row r="407" spans="3:3" x14ac:dyDescent="0.25">
      <c r="C407" s="7"/>
    </row>
    <row r="408" spans="3:3" x14ac:dyDescent="0.25">
      <c r="C408" s="7"/>
    </row>
    <row r="409" spans="3:3" x14ac:dyDescent="0.25">
      <c r="C409" s="7"/>
    </row>
    <row r="410" spans="3:3" x14ac:dyDescent="0.25">
      <c r="C410" s="7"/>
    </row>
    <row r="411" spans="3:3" x14ac:dyDescent="0.25">
      <c r="C411" s="7"/>
    </row>
    <row r="412" spans="3:3" x14ac:dyDescent="0.25">
      <c r="C412" s="7"/>
    </row>
    <row r="413" spans="3:3" x14ac:dyDescent="0.25">
      <c r="C413" s="7"/>
    </row>
    <row r="414" spans="3:3" x14ac:dyDescent="0.25">
      <c r="C414" s="7"/>
    </row>
    <row r="415" spans="3:3" x14ac:dyDescent="0.25">
      <c r="C415" s="7"/>
    </row>
    <row r="416" spans="3:3" x14ac:dyDescent="0.25">
      <c r="C416" s="7"/>
    </row>
    <row r="417" spans="3:3" x14ac:dyDescent="0.25">
      <c r="C417" s="7"/>
    </row>
    <row r="418" spans="3:3" x14ac:dyDescent="0.25">
      <c r="C418" s="7"/>
    </row>
    <row r="419" spans="3:3" x14ac:dyDescent="0.25">
      <c r="C419" s="7"/>
    </row>
    <row r="420" spans="3:3" x14ac:dyDescent="0.25">
      <c r="C420" s="7"/>
    </row>
    <row r="421" spans="3:3" x14ac:dyDescent="0.25">
      <c r="C421" s="7"/>
    </row>
    <row r="422" spans="3:3" x14ac:dyDescent="0.25">
      <c r="C422" s="7"/>
    </row>
    <row r="423" spans="3:3" x14ac:dyDescent="0.25">
      <c r="C423" s="7"/>
    </row>
    <row r="424" spans="3:3" x14ac:dyDescent="0.25">
      <c r="C424" s="7"/>
    </row>
    <row r="425" spans="3:3" x14ac:dyDescent="0.25">
      <c r="C425" s="7"/>
    </row>
    <row r="426" spans="3:3" x14ac:dyDescent="0.25">
      <c r="C426" s="7"/>
    </row>
    <row r="427" spans="3:3" x14ac:dyDescent="0.25">
      <c r="C427" s="7"/>
    </row>
    <row r="428" spans="3:3" x14ac:dyDescent="0.25">
      <c r="C428" s="7"/>
    </row>
    <row r="429" spans="3:3" x14ac:dyDescent="0.25">
      <c r="C429" s="7"/>
    </row>
    <row r="430" spans="3:3" x14ac:dyDescent="0.25">
      <c r="C430" s="7"/>
    </row>
    <row r="431" spans="3:3" x14ac:dyDescent="0.25">
      <c r="C431" s="7"/>
    </row>
    <row r="432" spans="3:3" x14ac:dyDescent="0.25">
      <c r="C432" s="7"/>
    </row>
    <row r="433" spans="3:3" x14ac:dyDescent="0.25">
      <c r="C433" s="7"/>
    </row>
    <row r="434" spans="3:3" x14ac:dyDescent="0.25">
      <c r="C434" s="7"/>
    </row>
    <row r="435" spans="3:3" x14ac:dyDescent="0.25">
      <c r="C435" s="7"/>
    </row>
    <row r="436" spans="3:3" x14ac:dyDescent="0.25">
      <c r="C436" s="7"/>
    </row>
    <row r="437" spans="3:3" x14ac:dyDescent="0.25">
      <c r="C437" s="7"/>
    </row>
    <row r="438" spans="3:3" x14ac:dyDescent="0.25">
      <c r="C438" s="7"/>
    </row>
    <row r="439" spans="3:3" x14ac:dyDescent="0.25">
      <c r="C439" s="7"/>
    </row>
    <row r="440" spans="3:3" x14ac:dyDescent="0.25">
      <c r="C440" s="7"/>
    </row>
    <row r="441" spans="3:3" x14ac:dyDescent="0.25">
      <c r="C441" s="7"/>
    </row>
    <row r="442" spans="3:3" x14ac:dyDescent="0.25">
      <c r="C442" s="7"/>
    </row>
    <row r="443" spans="3:3" x14ac:dyDescent="0.25">
      <c r="C443" s="7"/>
    </row>
    <row r="444" spans="3:3" x14ac:dyDescent="0.25">
      <c r="C444" s="7"/>
    </row>
    <row r="445" spans="3:3" x14ac:dyDescent="0.25">
      <c r="C445" s="7"/>
    </row>
    <row r="446" spans="3:3" x14ac:dyDescent="0.25">
      <c r="C446" s="7"/>
    </row>
    <row r="447" spans="3:3" x14ac:dyDescent="0.25">
      <c r="C447" s="7"/>
    </row>
    <row r="448" spans="3:3" x14ac:dyDescent="0.25">
      <c r="C448" s="7"/>
    </row>
    <row r="449" spans="3:3" x14ac:dyDescent="0.25">
      <c r="C449" s="7"/>
    </row>
    <row r="450" spans="3:3" x14ac:dyDescent="0.25">
      <c r="C450" s="7"/>
    </row>
    <row r="451" spans="3:3" x14ac:dyDescent="0.25">
      <c r="C451" s="7"/>
    </row>
    <row r="452" spans="3:3" x14ac:dyDescent="0.25">
      <c r="C452" s="7"/>
    </row>
    <row r="453" spans="3:3" x14ac:dyDescent="0.25">
      <c r="C453" s="7"/>
    </row>
    <row r="454" spans="3:3" x14ac:dyDescent="0.25">
      <c r="C454" s="7"/>
    </row>
    <row r="455" spans="3:3" x14ac:dyDescent="0.25">
      <c r="C455" s="7"/>
    </row>
    <row r="456" spans="3:3" x14ac:dyDescent="0.25">
      <c r="C456" s="7"/>
    </row>
    <row r="457" spans="3:3" x14ac:dyDescent="0.25">
      <c r="C457" s="7"/>
    </row>
    <row r="458" spans="3:3" x14ac:dyDescent="0.25">
      <c r="C458" s="7"/>
    </row>
    <row r="459" spans="3:3" x14ac:dyDescent="0.25">
      <c r="C459" s="7"/>
    </row>
    <row r="460" spans="3:3" x14ac:dyDescent="0.25">
      <c r="C460" s="7"/>
    </row>
    <row r="461" spans="3:3" x14ac:dyDescent="0.25">
      <c r="C461" s="7"/>
    </row>
    <row r="462" spans="3:3" x14ac:dyDescent="0.25">
      <c r="C462" s="7"/>
    </row>
    <row r="463" spans="3:3" x14ac:dyDescent="0.25">
      <c r="C463" s="7"/>
    </row>
    <row r="464" spans="3:3" x14ac:dyDescent="0.25">
      <c r="C464" s="7"/>
    </row>
    <row r="465" spans="3:3" x14ac:dyDescent="0.25">
      <c r="C465" s="7"/>
    </row>
    <row r="466" spans="3:3" x14ac:dyDescent="0.25">
      <c r="C466" s="7"/>
    </row>
    <row r="467" spans="3:3" x14ac:dyDescent="0.25">
      <c r="C467" s="7"/>
    </row>
    <row r="468" spans="3:3" x14ac:dyDescent="0.25">
      <c r="C468" s="7"/>
    </row>
    <row r="469" spans="3:3" x14ac:dyDescent="0.25">
      <c r="C469" s="7"/>
    </row>
    <row r="470" spans="3:3" x14ac:dyDescent="0.25">
      <c r="C470" s="7"/>
    </row>
    <row r="471" spans="3:3" x14ac:dyDescent="0.25">
      <c r="C471" s="7"/>
    </row>
    <row r="472" spans="3:3" x14ac:dyDescent="0.25">
      <c r="C472" s="7"/>
    </row>
    <row r="473" spans="3:3" x14ac:dyDescent="0.25">
      <c r="C473" s="7"/>
    </row>
    <row r="474" spans="3:3" x14ac:dyDescent="0.25">
      <c r="C474" s="7"/>
    </row>
    <row r="475" spans="3:3" x14ac:dyDescent="0.25">
      <c r="C475" s="7"/>
    </row>
    <row r="476" spans="3:3" x14ac:dyDescent="0.25">
      <c r="C476" s="7"/>
    </row>
    <row r="477" spans="3:3" x14ac:dyDescent="0.25">
      <c r="C477" s="7"/>
    </row>
    <row r="478" spans="3:3" x14ac:dyDescent="0.25">
      <c r="C478" s="7"/>
    </row>
    <row r="479" spans="3:3" x14ac:dyDescent="0.25">
      <c r="C479" s="7"/>
    </row>
    <row r="480" spans="3:3" x14ac:dyDescent="0.25">
      <c r="C480" s="7"/>
    </row>
    <row r="481" spans="3:3" x14ac:dyDescent="0.25">
      <c r="C481" s="7"/>
    </row>
    <row r="482" spans="3:3" x14ac:dyDescent="0.25">
      <c r="C482" s="7"/>
    </row>
    <row r="483" spans="3:3" x14ac:dyDescent="0.25">
      <c r="C483" s="7"/>
    </row>
    <row r="484" spans="3:3" x14ac:dyDescent="0.25">
      <c r="C484" s="7"/>
    </row>
    <row r="485" spans="3:3" x14ac:dyDescent="0.25">
      <c r="C485" s="7"/>
    </row>
    <row r="486" spans="3:3" x14ac:dyDescent="0.25">
      <c r="C486" s="7"/>
    </row>
    <row r="487" spans="3:3" x14ac:dyDescent="0.25">
      <c r="C487" s="7"/>
    </row>
    <row r="488" spans="3:3" x14ac:dyDescent="0.25">
      <c r="C488" s="7"/>
    </row>
    <row r="489" spans="3:3" x14ac:dyDescent="0.25">
      <c r="C489" s="7"/>
    </row>
    <row r="490" spans="3:3" x14ac:dyDescent="0.25">
      <c r="C490" s="7"/>
    </row>
    <row r="491" spans="3:3" x14ac:dyDescent="0.25">
      <c r="C491" s="7"/>
    </row>
    <row r="492" spans="3:3" x14ac:dyDescent="0.25">
      <c r="C492" s="7"/>
    </row>
    <row r="493" spans="3:3" x14ac:dyDescent="0.25">
      <c r="C493" s="7"/>
    </row>
    <row r="494" spans="3:3" x14ac:dyDescent="0.25">
      <c r="C494" s="7"/>
    </row>
    <row r="495" spans="3:3" x14ac:dyDescent="0.25">
      <c r="C495" s="7"/>
    </row>
    <row r="496" spans="3:3" x14ac:dyDescent="0.25">
      <c r="C496" s="7"/>
    </row>
    <row r="497" spans="3:3" x14ac:dyDescent="0.25">
      <c r="C497" s="7"/>
    </row>
    <row r="498" spans="3:3" x14ac:dyDescent="0.25">
      <c r="C498" s="7"/>
    </row>
    <row r="499" spans="3:3" x14ac:dyDescent="0.25">
      <c r="C499" s="7"/>
    </row>
    <row r="500" spans="3:3" x14ac:dyDescent="0.25">
      <c r="C500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Sheet1</vt:lpstr>
      <vt:lpstr>Data</vt:lpstr>
      <vt:lpstr>ListItem</vt:lpstr>
      <vt:lpstr>Chart1</vt:lpstr>
      <vt:lpstr>Chart2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Ryan Ye</cp:lastModifiedBy>
  <dcterms:created xsi:type="dcterms:W3CDTF">2010-05-30T12:54:44Z</dcterms:created>
  <dcterms:modified xsi:type="dcterms:W3CDTF">2019-04-01T18:06:55Z</dcterms:modified>
</cp:coreProperties>
</file>